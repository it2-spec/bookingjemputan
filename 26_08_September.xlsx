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HRGA\GA &amp; HRD\PT SRI\Driver\KFH\2026 Invoice\New Format\"/>
    </mc:Choice>
  </mc:AlternateContent>
  <xr:revisionPtr revIDLastSave="0" documentId="13_ncr:1_{64A46D5B-6E3B-4170-BE16-677B35AEF1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ap Invoice" sheetId="1" r:id="rId1"/>
    <sheet name="Rekap Per Rute" sheetId="2" r:id="rId2"/>
  </sheets>
  <definedNames>
    <definedName name="_xlnm.Print_Area" localSheetId="1">'Rekap Per Rute'!$A$1:$I$41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I30" i="2"/>
  <c r="H30" i="2"/>
  <c r="G30" i="2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B7" i="2"/>
  <c r="I7" i="2"/>
  <c r="H7" i="2"/>
  <c r="G7" i="2"/>
  <c r="F7" i="2"/>
  <c r="E7" i="2"/>
  <c r="D7" i="2"/>
  <c r="C7" i="2"/>
  <c r="H38" i="2" l="1"/>
  <c r="H40" i="2" s="1"/>
  <c r="C38" i="2"/>
  <c r="C40" i="2" s="1"/>
  <c r="I38" i="2"/>
  <c r="I40" i="2" s="1"/>
  <c r="G38" i="2"/>
  <c r="G40" i="2" s="1"/>
  <c r="F38" i="2"/>
  <c r="F40" i="2" s="1"/>
  <c r="E38" i="2"/>
  <c r="E40" i="2" s="1"/>
  <c r="D38" i="2"/>
  <c r="D40" i="2" s="1"/>
  <c r="B38" i="2"/>
  <c r="B40" i="2" s="1"/>
  <c r="B41" i="2" l="1"/>
</calcChain>
</file>

<file path=xl/sharedStrings.xml><?xml version="1.0" encoding="utf-8"?>
<sst xmlns="http://schemas.openxmlformats.org/spreadsheetml/2006/main" count="93" uniqueCount="45">
  <si>
    <t>Rekap Invoice Armada Shuttle — Periode: 2026-09-01 s/d 2026-09-02</t>
  </si>
  <si>
    <t>Tanggal</t>
  </si>
  <si>
    <t>Antar Masuk</t>
  </si>
  <si>
    <t>Antar Pulang</t>
  </si>
  <si>
    <t>Rute</t>
  </si>
  <si>
    <t>Jenis Kendaraan</t>
  </si>
  <si>
    <t>Rute &amp; Jenis Kendaraan</t>
  </si>
  <si>
    <t>Nama Karyawan</t>
  </si>
  <si>
    <t>Keterangan</t>
  </si>
  <si>
    <t>Harga</t>
  </si>
  <si>
    <t>01/09/2026</t>
  </si>
  <si>
    <t>05:30</t>
  </si>
  <si>
    <t>16:30</t>
  </si>
  <si>
    <t>Cikampek</t>
  </si>
  <si>
    <t>Elf Short</t>
  </si>
  <si>
    <t>Cikampek - Elf Short</t>
  </si>
  <si>
    <t>Fitria Ulfah Miftahul, Cahya Al Buchori, Rizki Ramdani, Muhammad Rangga Priambudi, Deden Abi Nugroho, Siti Nur Rohmah, Sigit Setiawan, Rahmat Yusup Firdaus, Ariya</t>
  </si>
  <si>
    <t>Sewa Vendor</t>
  </si>
  <si>
    <t>Karawang Barat</t>
  </si>
  <si>
    <t>Karawang Barat - Elf Short</t>
  </si>
  <si>
    <t>Tri Wahyuningsih, Rahma Hilal Fauziyyah, Muhammad Rizki, Melissa Devi, Budi Purwoko Santoso, Zaenal Arifin, Kiki Koriah, Neneng Kholisoh, Putri Yuli Setiawati, Nina Yuliana</t>
  </si>
  <si>
    <t>Karawang Timur</t>
  </si>
  <si>
    <t>Karawang Timur - Elf Short</t>
  </si>
  <si>
    <t>Siti Wahidah, Dini Apriyani, Komariah, Riska Amelia, Ria Reva Destriana, Euis Komalasari, Sahril, Novi Jesika Putri, Lilik Suharti, Cucu Sutiawati</t>
  </si>
  <si>
    <t>02/09/2026</t>
  </si>
  <si>
    <t>Ariya, Sigit Setiawan, Rizki Ramdani, Deden Abi Nugroho, Fitria Ulfah Miftahul, Muhammad Rangga Priambudi, Cahya Al Buchori, Siti Nur Rohmah</t>
  </si>
  <si>
    <t>Nina Yuliana, Putri Yuli Setiawati, Budi Purwoko Santoso, Neneng Kholisoh, Muhammad Rizki, Kiki Koriah, Tri Wahyuningsih, Rahma Hilal Fauziyyah, Melissa Devi</t>
  </si>
  <si>
    <t>Novi Jesika Putri, Riska Amelia, Lilik Suharti, Komariah, Euis Komalasari, Cucu Sutiawati, Siti Wahidah, Ria Reva Destriana</t>
  </si>
  <si>
    <t/>
  </si>
  <si>
    <t>PT. SAKAE RIKEN INDONESIA</t>
  </si>
  <si>
    <t>REKAPAN PENGGUNAAN MOBIL KFH REGULER AGUSTUS 2026 VIA NON TOLL</t>
  </si>
  <si>
    <t>07:30 - 16:30 (HARI KERJA)</t>
  </si>
  <si>
    <t>TANGGAL</t>
  </si>
  <si>
    <t>RUTE</t>
  </si>
  <si>
    <t>Total Rit</t>
  </si>
  <si>
    <t>Harga Per Rit</t>
  </si>
  <si>
    <t>Total Rp</t>
  </si>
  <si>
    <t>Sub  Total</t>
  </si>
  <si>
    <t>Karawang Barat - Avanza</t>
  </si>
  <si>
    <t>Karawang Timur - Avanza</t>
  </si>
  <si>
    <t>Karawang Timur - Elf Long</t>
  </si>
  <si>
    <t>Cikampek - Avanza</t>
  </si>
  <si>
    <t>Cikampek - Elf Long</t>
  </si>
  <si>
    <t>Rit</t>
  </si>
  <si>
    <t>Jumlah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</si>
</sst>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[$-409]dddd\,\ dd\ mmm\ yy;@"/>
    <numFmt numFmtId="166" formatCode="_(* #,##0_);_(* \(#,##0\);_(* &quot;-&quot;_);_(@_)"/>
    <numFmt numFmtId="167" formatCode="_-* #,##0_-;\-* #,##0_-;_-* &quot;-&quot;??_-;_-@_-"/>
    <numFmt numFmtId="168" formatCode="_([$Rp-421]* #,##0_);_([$Rp-421]* \(#,##0\);_([$Rp-421]* &quot;-&quot;??_);_(@_)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1" fillId="0" borderId="0" xfId="1"/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2" fillId="0" borderId="0" xfId="1" applyFont="1"/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43" fontId="7" fillId="0" borderId="1" xfId="3" applyFont="1" applyFill="1" applyBorder="1" applyAlignment="1">
      <alignment horizontal="center" vertical="center"/>
    </xf>
    <xf numFmtId="0" fontId="1" fillId="3" borderId="0" xfId="1" applyFill="1"/>
    <xf numFmtId="0" fontId="1" fillId="4" borderId="0" xfId="1" applyFill="1"/>
    <xf numFmtId="0" fontId="6" fillId="0" borderId="0" xfId="1" applyFont="1"/>
    <xf numFmtId="0" fontId="6" fillId="4" borderId="0" xfId="1" applyFont="1" applyFill="1"/>
    <xf numFmtId="0" fontId="8" fillId="0" borderId="1" xfId="1" applyFont="1" applyBorder="1"/>
    <xf numFmtId="43" fontId="8" fillId="0" borderId="1" xfId="3" applyFont="1" applyFill="1" applyBorder="1" applyAlignment="1">
      <alignment horizontal="center" vertical="center"/>
    </xf>
    <xf numFmtId="0" fontId="1" fillId="5" borderId="0" xfId="1" applyFill="1"/>
    <xf numFmtId="167" fontId="8" fillId="0" borderId="1" xfId="4" applyNumberFormat="1" applyFont="1" applyFill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3" fontId="8" fillId="0" borderId="2" xfId="1" applyNumberFormat="1" applyFont="1" applyBorder="1" applyAlignment="1">
      <alignment horizontal="center" vertical="center"/>
    </xf>
    <xf numFmtId="3" fontId="8" fillId="0" borderId="3" xfId="1" applyNumberFormat="1" applyFont="1" applyBorder="1" applyAlignment="1">
      <alignment horizontal="center" vertical="center"/>
    </xf>
    <xf numFmtId="168" fontId="1" fillId="0" borderId="0" xfId="1" applyNumberFormat="1"/>
    <xf numFmtId="0" fontId="2" fillId="0" borderId="1" xfId="1" applyFont="1" applyBorder="1" applyAlignment="1">
      <alignment horizontal="center" vertical="center"/>
    </xf>
  </cellXfs>
  <cellStyles count="5">
    <cellStyle name="Comma [0] 2" xfId="4" xr:uid="{B7C2528B-42C8-42ED-A107-C48356F82F79}"/>
    <cellStyle name="Comma 2" xfId="3" xr:uid="{836B4E0E-451C-485B-A86C-148BDE59A160}"/>
    <cellStyle name="Normal" xfId="0" builtinId="0"/>
    <cellStyle name="Normal 2" xfId="1" xr:uid="{8582F6AF-C620-4C92-807D-C6093E9F9719}"/>
    <cellStyle name="Percent 2" xfId="2" xr:uid="{D4F6EA2B-6CB3-4DB6-9A2B-71C450FF28A8}"/>
  </cellStyles>
  <dxfs count="1">
    <dxf>
      <fill>
        <patternFill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F15" sqref="F15"/>
    </sheetView>
  </sheetViews>
  <sheetFormatPr defaultRowHeight="15.75" x14ac:dyDescent="0.25"/>
  <cols>
    <col min="1" max="1" width="11" customWidth="1"/>
    <col min="2" max="2" width="11.125" bestFit="1" customWidth="1"/>
    <col min="3" max="3" width="11.25" bestFit="1" customWidth="1"/>
    <col min="4" max="4" width="3.125" bestFit="1" customWidth="1"/>
    <col min="5" max="6" width="14.125" bestFit="1" customWidth="1"/>
    <col min="7" max="7" width="25.25" customWidth="1"/>
    <col min="8" max="8" width="42.625" customWidth="1"/>
    <col min="9" max="9" width="15" bestFit="1" customWidth="1"/>
    <col min="10" max="10" width="11.5" customWidth="1"/>
    <col min="11" max="11" width="11.375" customWidth="1"/>
  </cols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  <c r="D3" t="s">
        <v>43</v>
      </c>
      <c r="E3" t="s">
        <v>4</v>
      </c>
      <c r="F3" t="s">
        <v>5</v>
      </c>
      <c r="G3" t="s">
        <v>6</v>
      </c>
      <c r="H3" t="s">
        <v>7</v>
      </c>
      <c r="I3" t="s">
        <v>44</v>
      </c>
      <c r="J3" t="s">
        <v>8</v>
      </c>
      <c r="K3" t="s">
        <v>9</v>
      </c>
    </row>
    <row r="4" spans="1:11" x14ac:dyDescent="0.25">
      <c r="A4" t="s">
        <v>10</v>
      </c>
      <c r="B4" t="s">
        <v>11</v>
      </c>
      <c r="C4" t="s">
        <v>12</v>
      </c>
      <c r="D4">
        <v>1</v>
      </c>
      <c r="E4" t="s">
        <v>13</v>
      </c>
      <c r="F4" t="s">
        <v>14</v>
      </c>
      <c r="G4" t="s">
        <v>15</v>
      </c>
      <c r="H4" t="s">
        <v>16</v>
      </c>
      <c r="I4">
        <f>COUNTA(_xlfn.TEXTSPLIT(H4, ","))</f>
        <v>9</v>
      </c>
      <c r="J4" t="s">
        <v>17</v>
      </c>
      <c r="K4">
        <v>738703</v>
      </c>
    </row>
    <row r="5" spans="1:11" x14ac:dyDescent="0.25">
      <c r="A5" t="s">
        <v>10</v>
      </c>
      <c r="B5" t="s">
        <v>11</v>
      </c>
      <c r="C5" t="s">
        <v>12</v>
      </c>
      <c r="D5">
        <v>1</v>
      </c>
      <c r="E5" t="s">
        <v>18</v>
      </c>
      <c r="F5" t="s">
        <v>14</v>
      </c>
      <c r="G5" t="s">
        <v>19</v>
      </c>
      <c r="H5" t="s">
        <v>20</v>
      </c>
      <c r="I5">
        <f t="shared" ref="I5:I9" si="0">COUNTA(_xlfn.TEXTSPLIT(H5, ","))</f>
        <v>10</v>
      </c>
      <c r="J5" t="s">
        <v>17</v>
      </c>
      <c r="K5">
        <v>708429</v>
      </c>
    </row>
    <row r="6" spans="1:11" x14ac:dyDescent="0.25">
      <c r="A6" t="s">
        <v>10</v>
      </c>
      <c r="B6" t="s">
        <v>11</v>
      </c>
      <c r="C6" t="s">
        <v>12</v>
      </c>
      <c r="D6">
        <v>1</v>
      </c>
      <c r="E6" t="s">
        <v>21</v>
      </c>
      <c r="F6" t="s">
        <v>14</v>
      </c>
      <c r="G6" t="s">
        <v>22</v>
      </c>
      <c r="H6" t="s">
        <v>23</v>
      </c>
      <c r="I6">
        <f t="shared" si="0"/>
        <v>10</v>
      </c>
      <c r="J6" t="s">
        <v>17</v>
      </c>
      <c r="K6">
        <v>740565</v>
      </c>
    </row>
    <row r="7" spans="1:11" x14ac:dyDescent="0.25">
      <c r="A7" t="s">
        <v>24</v>
      </c>
      <c r="B7" t="s">
        <v>11</v>
      </c>
      <c r="C7" t="s">
        <v>12</v>
      </c>
      <c r="D7">
        <v>1</v>
      </c>
      <c r="E7" t="s">
        <v>13</v>
      </c>
      <c r="F7" t="s">
        <v>14</v>
      </c>
      <c r="G7" t="s">
        <v>15</v>
      </c>
      <c r="H7" t="s">
        <v>25</v>
      </c>
      <c r="I7">
        <f t="shared" si="0"/>
        <v>8</v>
      </c>
      <c r="J7" t="s">
        <v>17</v>
      </c>
      <c r="K7">
        <v>738703</v>
      </c>
    </row>
    <row r="8" spans="1:11" x14ac:dyDescent="0.25">
      <c r="A8" t="s">
        <v>24</v>
      </c>
      <c r="B8" t="s">
        <v>11</v>
      </c>
      <c r="C8" t="s">
        <v>12</v>
      </c>
      <c r="D8">
        <v>1</v>
      </c>
      <c r="E8" t="s">
        <v>18</v>
      </c>
      <c r="F8" t="s">
        <v>14</v>
      </c>
      <c r="G8" t="s">
        <v>19</v>
      </c>
      <c r="H8" t="s">
        <v>26</v>
      </c>
      <c r="I8">
        <f t="shared" si="0"/>
        <v>9</v>
      </c>
      <c r="J8" t="s">
        <v>17</v>
      </c>
      <c r="K8">
        <v>708429</v>
      </c>
    </row>
    <row r="9" spans="1:11" x14ac:dyDescent="0.25">
      <c r="A9" t="s">
        <v>24</v>
      </c>
      <c r="B9" t="s">
        <v>11</v>
      </c>
      <c r="C9" t="s">
        <v>12</v>
      </c>
      <c r="D9">
        <v>1</v>
      </c>
      <c r="E9" t="s">
        <v>21</v>
      </c>
      <c r="F9" t="s">
        <v>14</v>
      </c>
      <c r="G9" t="s">
        <v>22</v>
      </c>
      <c r="H9" t="s">
        <v>27</v>
      </c>
      <c r="I9">
        <f t="shared" si="0"/>
        <v>8</v>
      </c>
      <c r="J9" t="s">
        <v>17</v>
      </c>
      <c r="K9">
        <v>740565</v>
      </c>
    </row>
    <row r="10" spans="1:11" x14ac:dyDescent="0.25">
      <c r="A10" t="s">
        <v>28</v>
      </c>
      <c r="B10" t="s">
        <v>28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J10" t="s">
        <v>28</v>
      </c>
    </row>
    <row r="11" spans="1:11" x14ac:dyDescent="0.25">
      <c r="A11" t="s">
        <v>28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</row>
  </sheetData>
  <pageMargins left="0.7" right="0.7" top="0.75" bottom="0.75" header="0.3" footer="0.3"/>
  <ignoredErrors>
    <ignoredError sqref="J1:J2 J10 A11:G11 A10:H10 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AC47-1A2B-4336-80F4-A40EC8D24BA6}">
  <sheetPr>
    <pageSetUpPr fitToPage="1"/>
  </sheetPr>
  <dimension ref="A1:M42"/>
  <sheetViews>
    <sheetView tabSelected="1" view="pageBreakPreview" zoomScale="70" zoomScaleNormal="70" zoomScaleSheetLayoutView="70" workbookViewId="0">
      <pane ySplit="6" topLeftCell="A7" activePane="bottomLeft" state="frozen"/>
      <selection activeCell="E15" sqref="E15"/>
      <selection pane="bottomLeft" activeCell="D13" sqref="D13"/>
    </sheetView>
  </sheetViews>
  <sheetFormatPr defaultRowHeight="15" x14ac:dyDescent="0.25"/>
  <cols>
    <col min="1" max="1" width="23.5" style="3" bestFit="1" customWidth="1"/>
    <col min="2" max="9" width="13.375" style="3" customWidth="1"/>
    <col min="10" max="10" width="9" style="3"/>
    <col min="11" max="11" width="13.125" style="3" bestFit="1" customWidth="1"/>
    <col min="12" max="16384" width="9" style="3"/>
  </cols>
  <sheetData>
    <row r="1" spans="1:13" ht="15.75" x14ac:dyDescent="0.25">
      <c r="A1" s="1" t="s">
        <v>29</v>
      </c>
      <c r="B1" s="1"/>
      <c r="C1" s="1"/>
      <c r="D1" s="1"/>
      <c r="E1" s="1"/>
      <c r="F1" s="2"/>
      <c r="G1" s="2"/>
    </row>
    <row r="2" spans="1:13" ht="15.75" x14ac:dyDescent="0.25">
      <c r="A2" s="4" t="s">
        <v>30</v>
      </c>
      <c r="B2" s="4"/>
      <c r="C2" s="4"/>
      <c r="D2" s="4"/>
      <c r="E2" s="4"/>
      <c r="F2" s="5"/>
      <c r="G2" s="5"/>
    </row>
    <row r="3" spans="1:13" x14ac:dyDescent="0.25">
      <c r="A3" s="6" t="s">
        <v>31</v>
      </c>
      <c r="B3" s="6"/>
      <c r="C3" s="6"/>
      <c r="D3" s="6"/>
      <c r="E3" s="6"/>
      <c r="F3" s="6"/>
      <c r="G3" s="6"/>
    </row>
    <row r="4" spans="1:13" ht="12" customHeight="1" x14ac:dyDescent="0.25"/>
    <row r="5" spans="1:13" ht="26.25" customHeight="1" x14ac:dyDescent="0.25">
      <c r="A5" s="7" t="s">
        <v>32</v>
      </c>
      <c r="B5" s="25" t="s">
        <v>33</v>
      </c>
      <c r="C5" s="25"/>
      <c r="D5" s="25"/>
      <c r="E5" s="25"/>
      <c r="F5" s="25"/>
      <c r="G5" s="25"/>
      <c r="H5" s="25"/>
      <c r="I5" s="25"/>
    </row>
    <row r="6" spans="1:13" ht="65.25" customHeight="1" x14ac:dyDescent="0.25">
      <c r="A6" s="7"/>
      <c r="B6" s="8" t="s">
        <v>38</v>
      </c>
      <c r="C6" s="9" t="s">
        <v>19</v>
      </c>
      <c r="D6" s="9" t="s">
        <v>39</v>
      </c>
      <c r="E6" s="9" t="s">
        <v>22</v>
      </c>
      <c r="F6" s="9" t="s">
        <v>40</v>
      </c>
      <c r="G6" s="9" t="s">
        <v>41</v>
      </c>
      <c r="H6" s="9" t="s">
        <v>15</v>
      </c>
      <c r="I6" s="9" t="s">
        <v>42</v>
      </c>
    </row>
    <row r="7" spans="1:13" s="12" customFormat="1" ht="18.75" x14ac:dyDescent="0.25">
      <c r="A7" s="10">
        <v>46266</v>
      </c>
      <c r="B7" s="11">
        <f>COUNTIFS('Rekap Invoice'!$G$4:$G$1500, 'Rekap Per Rute'!B$6, 'Rekap Invoice'!$A$4:$A$1500, 'Rekap Per Rute'!$A7)</f>
        <v>0</v>
      </c>
      <c r="C7" s="11">
        <f>COUNTIFS('Rekap Invoice'!$G$4:$G$1500, 'Rekap Per Rute'!C$6, 'Rekap Invoice'!$A$4:$A$1500, 'Rekap Per Rute'!$A7)</f>
        <v>1</v>
      </c>
      <c r="D7" s="11">
        <f>COUNTIFS('Rekap Invoice'!$G$4:$G$1500, 'Rekap Per Rute'!D$6, 'Rekap Invoice'!$A$4:$A$1500, 'Rekap Per Rute'!$A7)</f>
        <v>0</v>
      </c>
      <c r="E7" s="11">
        <f>COUNTIFS('Rekap Invoice'!$G$4:$G$1500, 'Rekap Per Rute'!E$6, 'Rekap Invoice'!$A$4:$A$1500, 'Rekap Per Rute'!$A7)</f>
        <v>1</v>
      </c>
      <c r="F7" s="11">
        <f>COUNTIFS('Rekap Invoice'!$G$4:$G$1500, 'Rekap Per Rute'!F$6, 'Rekap Invoice'!$A$4:$A$1500, 'Rekap Per Rute'!$A7)</f>
        <v>0</v>
      </c>
      <c r="G7" s="11">
        <f>COUNTIFS('Rekap Invoice'!$G$4:$G$1500, 'Rekap Per Rute'!G$6, 'Rekap Invoice'!$A$4:$A$1500, 'Rekap Per Rute'!$A7)</f>
        <v>0</v>
      </c>
      <c r="H7" s="11">
        <f>COUNTIFS('Rekap Invoice'!$G$4:$G$1500, 'Rekap Per Rute'!H$6, 'Rekap Invoice'!$A$4:$A$1500, 'Rekap Per Rute'!$A7)</f>
        <v>1</v>
      </c>
      <c r="I7" s="11">
        <f>COUNTIFS('Rekap Invoice'!$G$4:$G$1500, 'Rekap Per Rute'!I$6, 'Rekap Invoice'!$A$4:$A$1500, 'Rekap Per Rute'!$A7)</f>
        <v>0</v>
      </c>
    </row>
    <row r="8" spans="1:13" s="13" customFormat="1" ht="18.75" x14ac:dyDescent="0.25">
      <c r="A8" s="10">
        <v>46267</v>
      </c>
      <c r="B8" s="11">
        <f>COUNTIFS('Rekap Invoice'!$G$4:$G$1500, 'Rekap Per Rute'!B$6, 'Rekap Invoice'!$A$4:$A$1500, 'Rekap Per Rute'!$A8)</f>
        <v>0</v>
      </c>
      <c r="C8" s="11">
        <f>COUNTIFS('Rekap Invoice'!$G$4:$G$1500, 'Rekap Per Rute'!C$6, 'Rekap Invoice'!$A$4:$A$1500, 'Rekap Per Rute'!$A8)</f>
        <v>1</v>
      </c>
      <c r="D8" s="11">
        <f>COUNTIFS('Rekap Invoice'!$G$4:$G$1500, 'Rekap Per Rute'!D$6, 'Rekap Invoice'!$A$4:$A$1500, 'Rekap Per Rute'!$A8)</f>
        <v>0</v>
      </c>
      <c r="E8" s="11">
        <f>COUNTIFS('Rekap Invoice'!$G$4:$G$1500, 'Rekap Per Rute'!E$6, 'Rekap Invoice'!$A$4:$A$1500, 'Rekap Per Rute'!$A8)</f>
        <v>1</v>
      </c>
      <c r="F8" s="11">
        <f>COUNTIFS('Rekap Invoice'!$G$4:$G$1500, 'Rekap Per Rute'!F$6, 'Rekap Invoice'!$A$4:$A$1500, 'Rekap Per Rute'!$A8)</f>
        <v>0</v>
      </c>
      <c r="G8" s="11">
        <f>COUNTIFS('Rekap Invoice'!$G$4:$G$1500, 'Rekap Per Rute'!G$6, 'Rekap Invoice'!$A$4:$A$1500, 'Rekap Per Rute'!$A8)</f>
        <v>0</v>
      </c>
      <c r="H8" s="11">
        <f>COUNTIFS('Rekap Invoice'!$G$4:$G$1500, 'Rekap Per Rute'!H$6, 'Rekap Invoice'!$A$4:$A$1500, 'Rekap Per Rute'!$A8)</f>
        <v>1</v>
      </c>
      <c r="I8" s="11">
        <f>COUNTIFS('Rekap Invoice'!$G$4:$G$1500, 'Rekap Per Rute'!I$6, 'Rekap Invoice'!$A$4:$A$1500, 'Rekap Per Rute'!$A8)</f>
        <v>0</v>
      </c>
      <c r="J8" s="3"/>
      <c r="K8" s="3"/>
      <c r="L8" s="3"/>
      <c r="M8" s="3"/>
    </row>
    <row r="9" spans="1:13" s="13" customFormat="1" ht="18.75" x14ac:dyDescent="0.25">
      <c r="A9" s="10">
        <v>46268</v>
      </c>
      <c r="B9" s="11">
        <f>COUNTIFS('Rekap Invoice'!$G$4:$G$1500, 'Rekap Per Rute'!B$6, 'Rekap Invoice'!$A$4:$A$1500, 'Rekap Per Rute'!$A9)</f>
        <v>0</v>
      </c>
      <c r="C9" s="11">
        <f>COUNTIFS('Rekap Invoice'!$G$4:$G$1500, 'Rekap Per Rute'!C$6, 'Rekap Invoice'!$A$4:$A$1500, 'Rekap Per Rute'!$A9)</f>
        <v>0</v>
      </c>
      <c r="D9" s="11">
        <f>COUNTIFS('Rekap Invoice'!$G$4:$G$1500, 'Rekap Per Rute'!D$6, 'Rekap Invoice'!$A$4:$A$1500, 'Rekap Per Rute'!$A9)</f>
        <v>0</v>
      </c>
      <c r="E9" s="11">
        <f>COUNTIFS('Rekap Invoice'!$G$4:$G$1500, 'Rekap Per Rute'!E$6, 'Rekap Invoice'!$A$4:$A$1500, 'Rekap Per Rute'!$A9)</f>
        <v>0</v>
      </c>
      <c r="F9" s="11">
        <f>COUNTIFS('Rekap Invoice'!$G$4:$G$1500, 'Rekap Per Rute'!F$6, 'Rekap Invoice'!$A$4:$A$1500, 'Rekap Per Rute'!$A9)</f>
        <v>0</v>
      </c>
      <c r="G9" s="11">
        <f>COUNTIFS('Rekap Invoice'!$G$4:$G$1500, 'Rekap Per Rute'!G$6, 'Rekap Invoice'!$A$4:$A$1500, 'Rekap Per Rute'!$A9)</f>
        <v>0</v>
      </c>
      <c r="H9" s="11">
        <f>COUNTIFS('Rekap Invoice'!$G$4:$G$1500, 'Rekap Per Rute'!H$6, 'Rekap Invoice'!$A$4:$A$1500, 'Rekap Per Rute'!$A9)</f>
        <v>0</v>
      </c>
      <c r="I9" s="11">
        <f>COUNTIFS('Rekap Invoice'!$G$4:$G$1500, 'Rekap Per Rute'!I$6, 'Rekap Invoice'!$A$4:$A$1500, 'Rekap Per Rute'!$A9)</f>
        <v>0</v>
      </c>
      <c r="J9" s="3"/>
      <c r="K9" s="3"/>
      <c r="L9" s="3"/>
      <c r="M9" s="3"/>
    </row>
    <row r="10" spans="1:13" s="13" customFormat="1" ht="18.75" x14ac:dyDescent="0.25">
      <c r="A10" s="10">
        <v>46269</v>
      </c>
      <c r="B10" s="11">
        <f>COUNTIFS('Rekap Invoice'!$G$4:$G$1500, 'Rekap Per Rute'!B$6, 'Rekap Invoice'!$A$4:$A$1500, 'Rekap Per Rute'!$A10)</f>
        <v>0</v>
      </c>
      <c r="C10" s="11">
        <f>COUNTIFS('Rekap Invoice'!$G$4:$G$1500, 'Rekap Per Rute'!C$6, 'Rekap Invoice'!$A$4:$A$1500, 'Rekap Per Rute'!$A10)</f>
        <v>0</v>
      </c>
      <c r="D10" s="11">
        <f>COUNTIFS('Rekap Invoice'!$G$4:$G$1500, 'Rekap Per Rute'!D$6, 'Rekap Invoice'!$A$4:$A$1500, 'Rekap Per Rute'!$A10)</f>
        <v>0</v>
      </c>
      <c r="E10" s="11">
        <f>COUNTIFS('Rekap Invoice'!$G$4:$G$1500, 'Rekap Per Rute'!E$6, 'Rekap Invoice'!$A$4:$A$1500, 'Rekap Per Rute'!$A10)</f>
        <v>0</v>
      </c>
      <c r="F10" s="11">
        <f>COUNTIFS('Rekap Invoice'!$G$4:$G$1500, 'Rekap Per Rute'!F$6, 'Rekap Invoice'!$A$4:$A$1500, 'Rekap Per Rute'!$A10)</f>
        <v>0</v>
      </c>
      <c r="G10" s="11">
        <f>COUNTIFS('Rekap Invoice'!$G$4:$G$1500, 'Rekap Per Rute'!G$6, 'Rekap Invoice'!$A$4:$A$1500, 'Rekap Per Rute'!$A10)</f>
        <v>0</v>
      </c>
      <c r="H10" s="11">
        <f>COUNTIFS('Rekap Invoice'!$G$4:$G$1500, 'Rekap Per Rute'!H$6, 'Rekap Invoice'!$A$4:$A$1500, 'Rekap Per Rute'!$A10)</f>
        <v>0</v>
      </c>
      <c r="I10" s="11">
        <f>COUNTIFS('Rekap Invoice'!$G$4:$G$1500, 'Rekap Per Rute'!I$6, 'Rekap Invoice'!$A$4:$A$1500, 'Rekap Per Rute'!$A10)</f>
        <v>0</v>
      </c>
      <c r="J10" s="3"/>
      <c r="K10" s="3"/>
      <c r="L10" s="3"/>
      <c r="M10" s="3"/>
    </row>
    <row r="11" spans="1:13" s="13" customFormat="1" ht="18.75" x14ac:dyDescent="0.25">
      <c r="A11" s="10">
        <v>46270</v>
      </c>
      <c r="B11" s="11">
        <f>COUNTIFS('Rekap Invoice'!$G$4:$G$1500, 'Rekap Per Rute'!B$6, 'Rekap Invoice'!$A$4:$A$1500, 'Rekap Per Rute'!$A11)</f>
        <v>0</v>
      </c>
      <c r="C11" s="11">
        <f>COUNTIFS('Rekap Invoice'!$G$4:$G$1500, 'Rekap Per Rute'!C$6, 'Rekap Invoice'!$A$4:$A$1500, 'Rekap Per Rute'!$A11)</f>
        <v>0</v>
      </c>
      <c r="D11" s="11">
        <f>COUNTIFS('Rekap Invoice'!$G$4:$G$1500, 'Rekap Per Rute'!D$6, 'Rekap Invoice'!$A$4:$A$1500, 'Rekap Per Rute'!$A11)</f>
        <v>0</v>
      </c>
      <c r="E11" s="11">
        <f>COUNTIFS('Rekap Invoice'!$G$4:$G$1500, 'Rekap Per Rute'!E$6, 'Rekap Invoice'!$A$4:$A$1500, 'Rekap Per Rute'!$A11)</f>
        <v>0</v>
      </c>
      <c r="F11" s="11">
        <f>COUNTIFS('Rekap Invoice'!$G$4:$G$1500, 'Rekap Per Rute'!F$6, 'Rekap Invoice'!$A$4:$A$1500, 'Rekap Per Rute'!$A11)</f>
        <v>0</v>
      </c>
      <c r="G11" s="11">
        <f>COUNTIFS('Rekap Invoice'!$G$4:$G$1500, 'Rekap Per Rute'!G$6, 'Rekap Invoice'!$A$4:$A$1500, 'Rekap Per Rute'!$A11)</f>
        <v>0</v>
      </c>
      <c r="H11" s="11">
        <f>COUNTIFS('Rekap Invoice'!$G$4:$G$1500, 'Rekap Per Rute'!H$6, 'Rekap Invoice'!$A$4:$A$1500, 'Rekap Per Rute'!$A11)</f>
        <v>0</v>
      </c>
      <c r="I11" s="11">
        <f>COUNTIFS('Rekap Invoice'!$G$4:$G$1500, 'Rekap Per Rute'!I$6, 'Rekap Invoice'!$A$4:$A$1500, 'Rekap Per Rute'!$A11)</f>
        <v>0</v>
      </c>
      <c r="J11" s="3"/>
      <c r="K11" s="3"/>
      <c r="L11" s="3"/>
      <c r="M11" s="3"/>
    </row>
    <row r="12" spans="1:13" s="13" customFormat="1" ht="18.75" x14ac:dyDescent="0.25">
      <c r="A12" s="10">
        <v>46271</v>
      </c>
      <c r="B12" s="11">
        <f>COUNTIFS('Rekap Invoice'!$G$4:$G$1500, 'Rekap Per Rute'!B$6, 'Rekap Invoice'!$A$4:$A$1500, 'Rekap Per Rute'!$A12)</f>
        <v>0</v>
      </c>
      <c r="C12" s="11">
        <f>COUNTIFS('Rekap Invoice'!$G$4:$G$1500, 'Rekap Per Rute'!C$6, 'Rekap Invoice'!$A$4:$A$1500, 'Rekap Per Rute'!$A12)</f>
        <v>0</v>
      </c>
      <c r="D12" s="11">
        <f>COUNTIFS('Rekap Invoice'!$G$4:$G$1500, 'Rekap Per Rute'!D$6, 'Rekap Invoice'!$A$4:$A$1500, 'Rekap Per Rute'!$A12)</f>
        <v>0</v>
      </c>
      <c r="E12" s="11">
        <f>COUNTIFS('Rekap Invoice'!$G$4:$G$1500, 'Rekap Per Rute'!E$6, 'Rekap Invoice'!$A$4:$A$1500, 'Rekap Per Rute'!$A12)</f>
        <v>0</v>
      </c>
      <c r="F12" s="11">
        <f>COUNTIFS('Rekap Invoice'!$G$4:$G$1500, 'Rekap Per Rute'!F$6, 'Rekap Invoice'!$A$4:$A$1500, 'Rekap Per Rute'!$A12)</f>
        <v>0</v>
      </c>
      <c r="G12" s="11">
        <f>COUNTIFS('Rekap Invoice'!$G$4:$G$1500, 'Rekap Per Rute'!G$6, 'Rekap Invoice'!$A$4:$A$1500, 'Rekap Per Rute'!$A12)</f>
        <v>0</v>
      </c>
      <c r="H12" s="11">
        <f>COUNTIFS('Rekap Invoice'!$G$4:$G$1500, 'Rekap Per Rute'!H$6, 'Rekap Invoice'!$A$4:$A$1500, 'Rekap Per Rute'!$A12)</f>
        <v>0</v>
      </c>
      <c r="I12" s="11">
        <f>COUNTIFS('Rekap Invoice'!$G$4:$G$1500, 'Rekap Per Rute'!I$6, 'Rekap Invoice'!$A$4:$A$1500, 'Rekap Per Rute'!$A12)</f>
        <v>0</v>
      </c>
      <c r="J12" s="3"/>
      <c r="K12" s="3"/>
      <c r="L12" s="3"/>
      <c r="M12" s="3"/>
    </row>
    <row r="13" spans="1:13" s="12" customFormat="1" ht="18.75" x14ac:dyDescent="0.25">
      <c r="A13" s="10">
        <v>46272</v>
      </c>
      <c r="B13" s="11">
        <f>COUNTIFS('Rekap Invoice'!$G$4:$G$1500, 'Rekap Per Rute'!B$6, 'Rekap Invoice'!$A$4:$A$1500, 'Rekap Per Rute'!$A13)</f>
        <v>0</v>
      </c>
      <c r="C13" s="11">
        <f>COUNTIFS('Rekap Invoice'!$G$4:$G$1500, 'Rekap Per Rute'!C$6, 'Rekap Invoice'!$A$4:$A$1500, 'Rekap Per Rute'!$A13)</f>
        <v>0</v>
      </c>
      <c r="D13" s="11">
        <f>COUNTIFS('Rekap Invoice'!$G$4:$G$1500, 'Rekap Per Rute'!D$6, 'Rekap Invoice'!$A$4:$A$1500, 'Rekap Per Rute'!$A13)</f>
        <v>0</v>
      </c>
      <c r="E13" s="11">
        <f>COUNTIFS('Rekap Invoice'!$G$4:$G$1500, 'Rekap Per Rute'!E$6, 'Rekap Invoice'!$A$4:$A$1500, 'Rekap Per Rute'!$A13)</f>
        <v>0</v>
      </c>
      <c r="F13" s="11">
        <f>COUNTIFS('Rekap Invoice'!$G$4:$G$1500, 'Rekap Per Rute'!F$6, 'Rekap Invoice'!$A$4:$A$1500, 'Rekap Per Rute'!$A13)</f>
        <v>0</v>
      </c>
      <c r="G13" s="11">
        <f>COUNTIFS('Rekap Invoice'!$G$4:$G$1500, 'Rekap Per Rute'!G$6, 'Rekap Invoice'!$A$4:$A$1500, 'Rekap Per Rute'!$A13)</f>
        <v>0</v>
      </c>
      <c r="H13" s="11">
        <f>COUNTIFS('Rekap Invoice'!$G$4:$G$1500, 'Rekap Per Rute'!H$6, 'Rekap Invoice'!$A$4:$A$1500, 'Rekap Per Rute'!$A13)</f>
        <v>0</v>
      </c>
      <c r="I13" s="11">
        <f>COUNTIFS('Rekap Invoice'!$G$4:$G$1500, 'Rekap Per Rute'!I$6, 'Rekap Invoice'!$A$4:$A$1500, 'Rekap Per Rute'!$A13)</f>
        <v>0</v>
      </c>
    </row>
    <row r="14" spans="1:13" s="12" customFormat="1" ht="18.75" x14ac:dyDescent="0.25">
      <c r="A14" s="10">
        <v>46273</v>
      </c>
      <c r="B14" s="11">
        <f>COUNTIFS('Rekap Invoice'!$G$4:$G$1500, 'Rekap Per Rute'!B$6, 'Rekap Invoice'!$A$4:$A$1500, 'Rekap Per Rute'!$A14)</f>
        <v>0</v>
      </c>
      <c r="C14" s="11">
        <f>COUNTIFS('Rekap Invoice'!$G$4:$G$1500, 'Rekap Per Rute'!C$6, 'Rekap Invoice'!$A$4:$A$1500, 'Rekap Per Rute'!$A14)</f>
        <v>0</v>
      </c>
      <c r="D14" s="11">
        <f>COUNTIFS('Rekap Invoice'!$G$4:$G$1500, 'Rekap Per Rute'!D$6, 'Rekap Invoice'!$A$4:$A$1500, 'Rekap Per Rute'!$A14)</f>
        <v>0</v>
      </c>
      <c r="E14" s="11">
        <f>COUNTIFS('Rekap Invoice'!$G$4:$G$1500, 'Rekap Per Rute'!E$6, 'Rekap Invoice'!$A$4:$A$1500, 'Rekap Per Rute'!$A14)</f>
        <v>0</v>
      </c>
      <c r="F14" s="11">
        <f>COUNTIFS('Rekap Invoice'!$G$4:$G$1500, 'Rekap Per Rute'!F$6, 'Rekap Invoice'!$A$4:$A$1500, 'Rekap Per Rute'!$A14)</f>
        <v>0</v>
      </c>
      <c r="G14" s="11">
        <f>COUNTIFS('Rekap Invoice'!$G$4:$G$1500, 'Rekap Per Rute'!G$6, 'Rekap Invoice'!$A$4:$A$1500, 'Rekap Per Rute'!$A14)</f>
        <v>0</v>
      </c>
      <c r="H14" s="11">
        <f>COUNTIFS('Rekap Invoice'!$G$4:$G$1500, 'Rekap Per Rute'!H$6, 'Rekap Invoice'!$A$4:$A$1500, 'Rekap Per Rute'!$A14)</f>
        <v>0</v>
      </c>
      <c r="I14" s="11">
        <f>COUNTIFS('Rekap Invoice'!$G$4:$G$1500, 'Rekap Per Rute'!I$6, 'Rekap Invoice'!$A$4:$A$1500, 'Rekap Per Rute'!$A14)</f>
        <v>0</v>
      </c>
    </row>
    <row r="15" spans="1:13" s="13" customFormat="1" ht="18.75" x14ac:dyDescent="0.25">
      <c r="A15" s="10">
        <v>46274</v>
      </c>
      <c r="B15" s="11">
        <f>COUNTIFS('Rekap Invoice'!$G$4:$G$1500, 'Rekap Per Rute'!B$6, 'Rekap Invoice'!$A$4:$A$1500, 'Rekap Per Rute'!$A15)</f>
        <v>0</v>
      </c>
      <c r="C15" s="11">
        <f>COUNTIFS('Rekap Invoice'!$G$4:$G$1500, 'Rekap Per Rute'!C$6, 'Rekap Invoice'!$A$4:$A$1500, 'Rekap Per Rute'!$A15)</f>
        <v>0</v>
      </c>
      <c r="D15" s="11">
        <f>COUNTIFS('Rekap Invoice'!$G$4:$G$1500, 'Rekap Per Rute'!D$6, 'Rekap Invoice'!$A$4:$A$1500, 'Rekap Per Rute'!$A15)</f>
        <v>0</v>
      </c>
      <c r="E15" s="11">
        <f>COUNTIFS('Rekap Invoice'!$G$4:$G$1500, 'Rekap Per Rute'!E$6, 'Rekap Invoice'!$A$4:$A$1500, 'Rekap Per Rute'!$A15)</f>
        <v>0</v>
      </c>
      <c r="F15" s="11">
        <f>COUNTIFS('Rekap Invoice'!$G$4:$G$1500, 'Rekap Per Rute'!F$6, 'Rekap Invoice'!$A$4:$A$1500, 'Rekap Per Rute'!$A15)</f>
        <v>0</v>
      </c>
      <c r="G15" s="11">
        <f>COUNTIFS('Rekap Invoice'!$G$4:$G$1500, 'Rekap Per Rute'!G$6, 'Rekap Invoice'!$A$4:$A$1500, 'Rekap Per Rute'!$A15)</f>
        <v>0</v>
      </c>
      <c r="H15" s="11">
        <f>COUNTIFS('Rekap Invoice'!$G$4:$G$1500, 'Rekap Per Rute'!H$6, 'Rekap Invoice'!$A$4:$A$1500, 'Rekap Per Rute'!$A15)</f>
        <v>0</v>
      </c>
      <c r="I15" s="11">
        <f>COUNTIFS('Rekap Invoice'!$G$4:$G$1500, 'Rekap Per Rute'!I$6, 'Rekap Invoice'!$A$4:$A$1500, 'Rekap Per Rute'!$A15)</f>
        <v>0</v>
      </c>
      <c r="J15" s="3"/>
      <c r="K15" s="3"/>
      <c r="L15" s="3"/>
      <c r="M15" s="3"/>
    </row>
    <row r="16" spans="1:13" s="13" customFormat="1" ht="18.75" x14ac:dyDescent="0.25">
      <c r="A16" s="10">
        <v>46275</v>
      </c>
      <c r="B16" s="11">
        <f>COUNTIFS('Rekap Invoice'!$G$4:$G$1500, 'Rekap Per Rute'!B$6, 'Rekap Invoice'!$A$4:$A$1500, 'Rekap Per Rute'!$A16)</f>
        <v>0</v>
      </c>
      <c r="C16" s="11">
        <f>COUNTIFS('Rekap Invoice'!$G$4:$G$1500, 'Rekap Per Rute'!C$6, 'Rekap Invoice'!$A$4:$A$1500, 'Rekap Per Rute'!$A16)</f>
        <v>0</v>
      </c>
      <c r="D16" s="11">
        <f>COUNTIFS('Rekap Invoice'!$G$4:$G$1500, 'Rekap Per Rute'!D$6, 'Rekap Invoice'!$A$4:$A$1500, 'Rekap Per Rute'!$A16)</f>
        <v>0</v>
      </c>
      <c r="E16" s="11">
        <f>COUNTIFS('Rekap Invoice'!$G$4:$G$1500, 'Rekap Per Rute'!E$6, 'Rekap Invoice'!$A$4:$A$1500, 'Rekap Per Rute'!$A16)</f>
        <v>0</v>
      </c>
      <c r="F16" s="11">
        <f>COUNTIFS('Rekap Invoice'!$G$4:$G$1500, 'Rekap Per Rute'!F$6, 'Rekap Invoice'!$A$4:$A$1500, 'Rekap Per Rute'!$A16)</f>
        <v>0</v>
      </c>
      <c r="G16" s="11">
        <f>COUNTIFS('Rekap Invoice'!$G$4:$G$1500, 'Rekap Per Rute'!G$6, 'Rekap Invoice'!$A$4:$A$1500, 'Rekap Per Rute'!$A16)</f>
        <v>0</v>
      </c>
      <c r="H16" s="11">
        <f>COUNTIFS('Rekap Invoice'!$G$4:$G$1500, 'Rekap Per Rute'!H$6, 'Rekap Invoice'!$A$4:$A$1500, 'Rekap Per Rute'!$A16)</f>
        <v>0</v>
      </c>
      <c r="I16" s="11">
        <f>COUNTIFS('Rekap Invoice'!$G$4:$G$1500, 'Rekap Per Rute'!I$6, 'Rekap Invoice'!$A$4:$A$1500, 'Rekap Per Rute'!$A16)</f>
        <v>0</v>
      </c>
      <c r="J16" s="3"/>
      <c r="K16" s="3"/>
      <c r="L16" s="3"/>
      <c r="M16" s="3"/>
    </row>
    <row r="17" spans="1:13" s="13" customFormat="1" ht="18.75" x14ac:dyDescent="0.25">
      <c r="A17" s="10">
        <v>46276</v>
      </c>
      <c r="B17" s="11">
        <f>COUNTIFS('Rekap Invoice'!$G$4:$G$1500, 'Rekap Per Rute'!B$6, 'Rekap Invoice'!$A$4:$A$1500, 'Rekap Per Rute'!$A17)</f>
        <v>0</v>
      </c>
      <c r="C17" s="11">
        <f>COUNTIFS('Rekap Invoice'!$G$4:$G$1500, 'Rekap Per Rute'!C$6, 'Rekap Invoice'!$A$4:$A$1500, 'Rekap Per Rute'!$A17)</f>
        <v>0</v>
      </c>
      <c r="D17" s="11">
        <f>COUNTIFS('Rekap Invoice'!$G$4:$G$1500, 'Rekap Per Rute'!D$6, 'Rekap Invoice'!$A$4:$A$1500, 'Rekap Per Rute'!$A17)</f>
        <v>0</v>
      </c>
      <c r="E17" s="11">
        <f>COUNTIFS('Rekap Invoice'!$G$4:$G$1500, 'Rekap Per Rute'!E$6, 'Rekap Invoice'!$A$4:$A$1500, 'Rekap Per Rute'!$A17)</f>
        <v>0</v>
      </c>
      <c r="F17" s="11">
        <f>COUNTIFS('Rekap Invoice'!$G$4:$G$1500, 'Rekap Per Rute'!F$6, 'Rekap Invoice'!$A$4:$A$1500, 'Rekap Per Rute'!$A17)</f>
        <v>0</v>
      </c>
      <c r="G17" s="11">
        <f>COUNTIFS('Rekap Invoice'!$G$4:$G$1500, 'Rekap Per Rute'!G$6, 'Rekap Invoice'!$A$4:$A$1500, 'Rekap Per Rute'!$A17)</f>
        <v>0</v>
      </c>
      <c r="H17" s="11">
        <f>COUNTIFS('Rekap Invoice'!$G$4:$G$1500, 'Rekap Per Rute'!H$6, 'Rekap Invoice'!$A$4:$A$1500, 'Rekap Per Rute'!$A17)</f>
        <v>0</v>
      </c>
      <c r="I17" s="11">
        <f>COUNTIFS('Rekap Invoice'!$G$4:$G$1500, 'Rekap Per Rute'!I$6, 'Rekap Invoice'!$A$4:$A$1500, 'Rekap Per Rute'!$A17)</f>
        <v>0</v>
      </c>
      <c r="J17" s="3"/>
      <c r="K17" s="3"/>
      <c r="L17" s="3"/>
      <c r="M17" s="3"/>
    </row>
    <row r="18" spans="1:13" s="13" customFormat="1" ht="18.75" x14ac:dyDescent="0.25">
      <c r="A18" s="10">
        <v>46277</v>
      </c>
      <c r="B18" s="11">
        <f>COUNTIFS('Rekap Invoice'!$G$4:$G$1500, 'Rekap Per Rute'!B$6, 'Rekap Invoice'!$A$4:$A$1500, 'Rekap Per Rute'!$A18)</f>
        <v>0</v>
      </c>
      <c r="C18" s="11">
        <f>COUNTIFS('Rekap Invoice'!$G$4:$G$1500, 'Rekap Per Rute'!C$6, 'Rekap Invoice'!$A$4:$A$1500, 'Rekap Per Rute'!$A18)</f>
        <v>0</v>
      </c>
      <c r="D18" s="11">
        <f>COUNTIFS('Rekap Invoice'!$G$4:$G$1500, 'Rekap Per Rute'!D$6, 'Rekap Invoice'!$A$4:$A$1500, 'Rekap Per Rute'!$A18)</f>
        <v>0</v>
      </c>
      <c r="E18" s="11">
        <f>COUNTIFS('Rekap Invoice'!$G$4:$G$1500, 'Rekap Per Rute'!E$6, 'Rekap Invoice'!$A$4:$A$1500, 'Rekap Per Rute'!$A18)</f>
        <v>0</v>
      </c>
      <c r="F18" s="11">
        <f>COUNTIFS('Rekap Invoice'!$G$4:$G$1500, 'Rekap Per Rute'!F$6, 'Rekap Invoice'!$A$4:$A$1500, 'Rekap Per Rute'!$A18)</f>
        <v>0</v>
      </c>
      <c r="G18" s="11">
        <f>COUNTIFS('Rekap Invoice'!$G$4:$G$1500, 'Rekap Per Rute'!G$6, 'Rekap Invoice'!$A$4:$A$1500, 'Rekap Per Rute'!$A18)</f>
        <v>0</v>
      </c>
      <c r="H18" s="11">
        <f>COUNTIFS('Rekap Invoice'!$G$4:$G$1500, 'Rekap Per Rute'!H$6, 'Rekap Invoice'!$A$4:$A$1500, 'Rekap Per Rute'!$A18)</f>
        <v>0</v>
      </c>
      <c r="I18" s="11">
        <f>COUNTIFS('Rekap Invoice'!$G$4:$G$1500, 'Rekap Per Rute'!I$6, 'Rekap Invoice'!$A$4:$A$1500, 'Rekap Per Rute'!$A18)</f>
        <v>0</v>
      </c>
      <c r="J18" s="3"/>
      <c r="K18" s="3"/>
      <c r="L18" s="3"/>
      <c r="M18" s="3"/>
    </row>
    <row r="19" spans="1:13" s="12" customFormat="1" ht="18.75" x14ac:dyDescent="0.25">
      <c r="A19" s="10">
        <v>46278</v>
      </c>
      <c r="B19" s="11">
        <f>COUNTIFS('Rekap Invoice'!$G$4:$G$1500, 'Rekap Per Rute'!B$6, 'Rekap Invoice'!$A$4:$A$1500, 'Rekap Per Rute'!$A19)</f>
        <v>0</v>
      </c>
      <c r="C19" s="11">
        <f>COUNTIFS('Rekap Invoice'!$G$4:$G$1500, 'Rekap Per Rute'!C$6, 'Rekap Invoice'!$A$4:$A$1500, 'Rekap Per Rute'!$A19)</f>
        <v>0</v>
      </c>
      <c r="D19" s="11">
        <f>COUNTIFS('Rekap Invoice'!$G$4:$G$1500, 'Rekap Per Rute'!D$6, 'Rekap Invoice'!$A$4:$A$1500, 'Rekap Per Rute'!$A19)</f>
        <v>0</v>
      </c>
      <c r="E19" s="11">
        <f>COUNTIFS('Rekap Invoice'!$G$4:$G$1500, 'Rekap Per Rute'!E$6, 'Rekap Invoice'!$A$4:$A$1500, 'Rekap Per Rute'!$A19)</f>
        <v>0</v>
      </c>
      <c r="F19" s="11">
        <f>COUNTIFS('Rekap Invoice'!$G$4:$G$1500, 'Rekap Per Rute'!F$6, 'Rekap Invoice'!$A$4:$A$1500, 'Rekap Per Rute'!$A19)</f>
        <v>0</v>
      </c>
      <c r="G19" s="11">
        <f>COUNTIFS('Rekap Invoice'!$G$4:$G$1500, 'Rekap Per Rute'!G$6, 'Rekap Invoice'!$A$4:$A$1500, 'Rekap Per Rute'!$A19)</f>
        <v>0</v>
      </c>
      <c r="H19" s="11">
        <f>COUNTIFS('Rekap Invoice'!$G$4:$G$1500, 'Rekap Per Rute'!H$6, 'Rekap Invoice'!$A$4:$A$1500, 'Rekap Per Rute'!$A19)</f>
        <v>0</v>
      </c>
      <c r="I19" s="11">
        <f>COUNTIFS('Rekap Invoice'!$G$4:$G$1500, 'Rekap Per Rute'!I$6, 'Rekap Invoice'!$A$4:$A$1500, 'Rekap Per Rute'!$A19)</f>
        <v>0</v>
      </c>
    </row>
    <row r="20" spans="1:13" s="13" customFormat="1" ht="18.75" x14ac:dyDescent="0.25">
      <c r="A20" s="10">
        <v>46279</v>
      </c>
      <c r="B20" s="11">
        <f>COUNTIFS('Rekap Invoice'!$G$4:$G$1500, 'Rekap Per Rute'!B$6, 'Rekap Invoice'!$A$4:$A$1500, 'Rekap Per Rute'!$A20)</f>
        <v>0</v>
      </c>
      <c r="C20" s="11">
        <f>COUNTIFS('Rekap Invoice'!$G$4:$G$1500, 'Rekap Per Rute'!C$6, 'Rekap Invoice'!$A$4:$A$1500, 'Rekap Per Rute'!$A20)</f>
        <v>0</v>
      </c>
      <c r="D20" s="11">
        <f>COUNTIFS('Rekap Invoice'!$G$4:$G$1500, 'Rekap Per Rute'!D$6, 'Rekap Invoice'!$A$4:$A$1500, 'Rekap Per Rute'!$A20)</f>
        <v>0</v>
      </c>
      <c r="E20" s="11">
        <f>COUNTIFS('Rekap Invoice'!$G$4:$G$1500, 'Rekap Per Rute'!E$6, 'Rekap Invoice'!$A$4:$A$1500, 'Rekap Per Rute'!$A20)</f>
        <v>0</v>
      </c>
      <c r="F20" s="11">
        <f>COUNTIFS('Rekap Invoice'!$G$4:$G$1500, 'Rekap Per Rute'!F$6, 'Rekap Invoice'!$A$4:$A$1500, 'Rekap Per Rute'!$A20)</f>
        <v>0</v>
      </c>
      <c r="G20" s="11">
        <f>COUNTIFS('Rekap Invoice'!$G$4:$G$1500, 'Rekap Per Rute'!G$6, 'Rekap Invoice'!$A$4:$A$1500, 'Rekap Per Rute'!$A20)</f>
        <v>0</v>
      </c>
      <c r="H20" s="11">
        <f>COUNTIFS('Rekap Invoice'!$G$4:$G$1500, 'Rekap Per Rute'!H$6, 'Rekap Invoice'!$A$4:$A$1500, 'Rekap Per Rute'!$A20)</f>
        <v>0</v>
      </c>
      <c r="I20" s="11">
        <f>COUNTIFS('Rekap Invoice'!$G$4:$G$1500, 'Rekap Per Rute'!I$6, 'Rekap Invoice'!$A$4:$A$1500, 'Rekap Per Rute'!$A20)</f>
        <v>0</v>
      </c>
      <c r="J20" s="3"/>
      <c r="K20" s="3"/>
      <c r="L20" s="3"/>
      <c r="M20" s="3"/>
    </row>
    <row r="21" spans="1:13" s="12" customFormat="1" ht="18.75" x14ac:dyDescent="0.25">
      <c r="A21" s="10">
        <v>46280</v>
      </c>
      <c r="B21" s="11">
        <f>COUNTIFS('Rekap Invoice'!$G$4:$G$1500, 'Rekap Per Rute'!B$6, 'Rekap Invoice'!$A$4:$A$1500, 'Rekap Per Rute'!$A21)</f>
        <v>0</v>
      </c>
      <c r="C21" s="11">
        <f>COUNTIFS('Rekap Invoice'!$G$4:$G$1500, 'Rekap Per Rute'!C$6, 'Rekap Invoice'!$A$4:$A$1500, 'Rekap Per Rute'!$A21)</f>
        <v>0</v>
      </c>
      <c r="D21" s="11">
        <f>COUNTIFS('Rekap Invoice'!$G$4:$G$1500, 'Rekap Per Rute'!D$6, 'Rekap Invoice'!$A$4:$A$1500, 'Rekap Per Rute'!$A21)</f>
        <v>0</v>
      </c>
      <c r="E21" s="11">
        <f>COUNTIFS('Rekap Invoice'!$G$4:$G$1500, 'Rekap Per Rute'!E$6, 'Rekap Invoice'!$A$4:$A$1500, 'Rekap Per Rute'!$A21)</f>
        <v>0</v>
      </c>
      <c r="F21" s="11">
        <f>COUNTIFS('Rekap Invoice'!$G$4:$G$1500, 'Rekap Per Rute'!F$6, 'Rekap Invoice'!$A$4:$A$1500, 'Rekap Per Rute'!$A21)</f>
        <v>0</v>
      </c>
      <c r="G21" s="11">
        <f>COUNTIFS('Rekap Invoice'!$G$4:$G$1500, 'Rekap Per Rute'!G$6, 'Rekap Invoice'!$A$4:$A$1500, 'Rekap Per Rute'!$A21)</f>
        <v>0</v>
      </c>
      <c r="H21" s="11">
        <f>COUNTIFS('Rekap Invoice'!$G$4:$G$1500, 'Rekap Per Rute'!H$6, 'Rekap Invoice'!$A$4:$A$1500, 'Rekap Per Rute'!$A21)</f>
        <v>0</v>
      </c>
      <c r="I21" s="11">
        <f>COUNTIFS('Rekap Invoice'!$G$4:$G$1500, 'Rekap Per Rute'!I$6, 'Rekap Invoice'!$A$4:$A$1500, 'Rekap Per Rute'!$A21)</f>
        <v>0</v>
      </c>
    </row>
    <row r="22" spans="1:13" s="13" customFormat="1" ht="18.75" x14ac:dyDescent="0.25">
      <c r="A22" s="10">
        <v>46281</v>
      </c>
      <c r="B22" s="11">
        <f>COUNTIFS('Rekap Invoice'!$G$4:$G$1500, 'Rekap Per Rute'!B$6, 'Rekap Invoice'!$A$4:$A$1500, 'Rekap Per Rute'!$A22)</f>
        <v>0</v>
      </c>
      <c r="C22" s="11">
        <f>COUNTIFS('Rekap Invoice'!$G$4:$G$1500, 'Rekap Per Rute'!C$6, 'Rekap Invoice'!$A$4:$A$1500, 'Rekap Per Rute'!$A22)</f>
        <v>0</v>
      </c>
      <c r="D22" s="11">
        <f>COUNTIFS('Rekap Invoice'!$G$4:$G$1500, 'Rekap Per Rute'!D$6, 'Rekap Invoice'!$A$4:$A$1500, 'Rekap Per Rute'!$A22)</f>
        <v>0</v>
      </c>
      <c r="E22" s="11">
        <f>COUNTIFS('Rekap Invoice'!$G$4:$G$1500, 'Rekap Per Rute'!E$6, 'Rekap Invoice'!$A$4:$A$1500, 'Rekap Per Rute'!$A22)</f>
        <v>0</v>
      </c>
      <c r="F22" s="11">
        <f>COUNTIFS('Rekap Invoice'!$G$4:$G$1500, 'Rekap Per Rute'!F$6, 'Rekap Invoice'!$A$4:$A$1500, 'Rekap Per Rute'!$A22)</f>
        <v>0</v>
      </c>
      <c r="G22" s="11">
        <f>COUNTIFS('Rekap Invoice'!$G$4:$G$1500, 'Rekap Per Rute'!G$6, 'Rekap Invoice'!$A$4:$A$1500, 'Rekap Per Rute'!$A22)</f>
        <v>0</v>
      </c>
      <c r="H22" s="11">
        <f>COUNTIFS('Rekap Invoice'!$G$4:$G$1500, 'Rekap Per Rute'!H$6, 'Rekap Invoice'!$A$4:$A$1500, 'Rekap Per Rute'!$A22)</f>
        <v>0</v>
      </c>
      <c r="I22" s="11">
        <f>COUNTIFS('Rekap Invoice'!$G$4:$G$1500, 'Rekap Per Rute'!I$6, 'Rekap Invoice'!$A$4:$A$1500, 'Rekap Per Rute'!$A22)</f>
        <v>0</v>
      </c>
      <c r="J22" s="3"/>
      <c r="K22" s="3"/>
      <c r="L22" s="3"/>
      <c r="M22" s="3"/>
    </row>
    <row r="23" spans="1:13" s="13" customFormat="1" ht="18.75" x14ac:dyDescent="0.25">
      <c r="A23" s="10">
        <v>46282</v>
      </c>
      <c r="B23" s="11">
        <f>COUNTIFS('Rekap Invoice'!$G$4:$G$1500, 'Rekap Per Rute'!B$6, 'Rekap Invoice'!$A$4:$A$1500, 'Rekap Per Rute'!$A23)</f>
        <v>0</v>
      </c>
      <c r="C23" s="11">
        <f>COUNTIFS('Rekap Invoice'!$G$4:$G$1500, 'Rekap Per Rute'!C$6, 'Rekap Invoice'!$A$4:$A$1500, 'Rekap Per Rute'!$A23)</f>
        <v>0</v>
      </c>
      <c r="D23" s="11">
        <f>COUNTIFS('Rekap Invoice'!$G$4:$G$1500, 'Rekap Per Rute'!D$6, 'Rekap Invoice'!$A$4:$A$1500, 'Rekap Per Rute'!$A23)</f>
        <v>0</v>
      </c>
      <c r="E23" s="11">
        <f>COUNTIFS('Rekap Invoice'!$G$4:$G$1500, 'Rekap Per Rute'!E$6, 'Rekap Invoice'!$A$4:$A$1500, 'Rekap Per Rute'!$A23)</f>
        <v>0</v>
      </c>
      <c r="F23" s="11">
        <f>COUNTIFS('Rekap Invoice'!$G$4:$G$1500, 'Rekap Per Rute'!F$6, 'Rekap Invoice'!$A$4:$A$1500, 'Rekap Per Rute'!$A23)</f>
        <v>0</v>
      </c>
      <c r="G23" s="11">
        <f>COUNTIFS('Rekap Invoice'!$G$4:$G$1500, 'Rekap Per Rute'!G$6, 'Rekap Invoice'!$A$4:$A$1500, 'Rekap Per Rute'!$A23)</f>
        <v>0</v>
      </c>
      <c r="H23" s="11">
        <f>COUNTIFS('Rekap Invoice'!$G$4:$G$1500, 'Rekap Per Rute'!H$6, 'Rekap Invoice'!$A$4:$A$1500, 'Rekap Per Rute'!$A23)</f>
        <v>0</v>
      </c>
      <c r="I23" s="11">
        <f>COUNTIFS('Rekap Invoice'!$G$4:$G$1500, 'Rekap Per Rute'!I$6, 'Rekap Invoice'!$A$4:$A$1500, 'Rekap Per Rute'!$A23)</f>
        <v>0</v>
      </c>
      <c r="J23" s="3"/>
      <c r="K23" s="3"/>
      <c r="L23" s="3"/>
      <c r="M23" s="3"/>
    </row>
    <row r="24" spans="1:13" s="15" customFormat="1" ht="18.75" x14ac:dyDescent="0.3">
      <c r="A24" s="10">
        <v>46283</v>
      </c>
      <c r="B24" s="11">
        <f>COUNTIFS('Rekap Invoice'!$G$4:$G$1500, 'Rekap Per Rute'!B$6, 'Rekap Invoice'!$A$4:$A$1500, 'Rekap Per Rute'!$A24)</f>
        <v>0</v>
      </c>
      <c r="C24" s="11">
        <f>COUNTIFS('Rekap Invoice'!$G$4:$G$1500, 'Rekap Per Rute'!C$6, 'Rekap Invoice'!$A$4:$A$1500, 'Rekap Per Rute'!$A24)</f>
        <v>0</v>
      </c>
      <c r="D24" s="11">
        <f>COUNTIFS('Rekap Invoice'!$G$4:$G$1500, 'Rekap Per Rute'!D$6, 'Rekap Invoice'!$A$4:$A$1500, 'Rekap Per Rute'!$A24)</f>
        <v>0</v>
      </c>
      <c r="E24" s="11">
        <f>COUNTIFS('Rekap Invoice'!$G$4:$G$1500, 'Rekap Per Rute'!E$6, 'Rekap Invoice'!$A$4:$A$1500, 'Rekap Per Rute'!$A24)</f>
        <v>0</v>
      </c>
      <c r="F24" s="11">
        <f>COUNTIFS('Rekap Invoice'!$G$4:$G$1500, 'Rekap Per Rute'!F$6, 'Rekap Invoice'!$A$4:$A$1500, 'Rekap Per Rute'!$A24)</f>
        <v>0</v>
      </c>
      <c r="G24" s="11">
        <f>COUNTIFS('Rekap Invoice'!$G$4:$G$1500, 'Rekap Per Rute'!G$6, 'Rekap Invoice'!$A$4:$A$1500, 'Rekap Per Rute'!$A24)</f>
        <v>0</v>
      </c>
      <c r="H24" s="11">
        <f>COUNTIFS('Rekap Invoice'!$G$4:$G$1500, 'Rekap Per Rute'!H$6, 'Rekap Invoice'!$A$4:$A$1500, 'Rekap Per Rute'!$A24)</f>
        <v>0</v>
      </c>
      <c r="I24" s="11">
        <f>COUNTIFS('Rekap Invoice'!$G$4:$G$1500, 'Rekap Per Rute'!I$6, 'Rekap Invoice'!$A$4:$A$1500, 'Rekap Per Rute'!$A24)</f>
        <v>0</v>
      </c>
      <c r="J24" s="14"/>
      <c r="K24" s="14"/>
      <c r="L24" s="14"/>
      <c r="M24" s="14"/>
    </row>
    <row r="25" spans="1:13" s="13" customFormat="1" ht="18.75" x14ac:dyDescent="0.25">
      <c r="A25" s="10">
        <v>46284</v>
      </c>
      <c r="B25" s="11">
        <f>COUNTIFS('Rekap Invoice'!$G$4:$G$1500, 'Rekap Per Rute'!B$6, 'Rekap Invoice'!$A$4:$A$1500, 'Rekap Per Rute'!$A25)</f>
        <v>0</v>
      </c>
      <c r="C25" s="11">
        <f>COUNTIFS('Rekap Invoice'!$G$4:$G$1500, 'Rekap Per Rute'!C$6, 'Rekap Invoice'!$A$4:$A$1500, 'Rekap Per Rute'!$A25)</f>
        <v>0</v>
      </c>
      <c r="D25" s="11">
        <f>COUNTIFS('Rekap Invoice'!$G$4:$G$1500, 'Rekap Per Rute'!D$6, 'Rekap Invoice'!$A$4:$A$1500, 'Rekap Per Rute'!$A25)</f>
        <v>0</v>
      </c>
      <c r="E25" s="11">
        <f>COUNTIFS('Rekap Invoice'!$G$4:$G$1500, 'Rekap Per Rute'!E$6, 'Rekap Invoice'!$A$4:$A$1500, 'Rekap Per Rute'!$A25)</f>
        <v>0</v>
      </c>
      <c r="F25" s="11">
        <f>COUNTIFS('Rekap Invoice'!$G$4:$G$1500, 'Rekap Per Rute'!F$6, 'Rekap Invoice'!$A$4:$A$1500, 'Rekap Per Rute'!$A25)</f>
        <v>0</v>
      </c>
      <c r="G25" s="11">
        <f>COUNTIFS('Rekap Invoice'!$G$4:$G$1500, 'Rekap Per Rute'!G$6, 'Rekap Invoice'!$A$4:$A$1500, 'Rekap Per Rute'!$A25)</f>
        <v>0</v>
      </c>
      <c r="H25" s="11">
        <f>COUNTIFS('Rekap Invoice'!$G$4:$G$1500, 'Rekap Per Rute'!H$6, 'Rekap Invoice'!$A$4:$A$1500, 'Rekap Per Rute'!$A25)</f>
        <v>0</v>
      </c>
      <c r="I25" s="11">
        <f>COUNTIFS('Rekap Invoice'!$G$4:$G$1500, 'Rekap Per Rute'!I$6, 'Rekap Invoice'!$A$4:$A$1500, 'Rekap Per Rute'!$A25)</f>
        <v>0</v>
      </c>
      <c r="J25" s="3"/>
      <c r="K25" s="3"/>
      <c r="L25" s="3"/>
      <c r="M25" s="3"/>
    </row>
    <row r="26" spans="1:13" s="13" customFormat="1" ht="18.75" x14ac:dyDescent="0.25">
      <c r="A26" s="10">
        <v>46285</v>
      </c>
      <c r="B26" s="11">
        <f>COUNTIFS('Rekap Invoice'!$G$4:$G$1500, 'Rekap Per Rute'!B$6, 'Rekap Invoice'!$A$4:$A$1500, 'Rekap Per Rute'!$A26)</f>
        <v>0</v>
      </c>
      <c r="C26" s="11">
        <f>COUNTIFS('Rekap Invoice'!$G$4:$G$1500, 'Rekap Per Rute'!C$6, 'Rekap Invoice'!$A$4:$A$1500, 'Rekap Per Rute'!$A26)</f>
        <v>0</v>
      </c>
      <c r="D26" s="11">
        <f>COUNTIFS('Rekap Invoice'!$G$4:$G$1500, 'Rekap Per Rute'!D$6, 'Rekap Invoice'!$A$4:$A$1500, 'Rekap Per Rute'!$A26)</f>
        <v>0</v>
      </c>
      <c r="E26" s="11">
        <f>COUNTIFS('Rekap Invoice'!$G$4:$G$1500, 'Rekap Per Rute'!E$6, 'Rekap Invoice'!$A$4:$A$1500, 'Rekap Per Rute'!$A26)</f>
        <v>0</v>
      </c>
      <c r="F26" s="11">
        <f>COUNTIFS('Rekap Invoice'!$G$4:$G$1500, 'Rekap Per Rute'!F$6, 'Rekap Invoice'!$A$4:$A$1500, 'Rekap Per Rute'!$A26)</f>
        <v>0</v>
      </c>
      <c r="G26" s="11">
        <f>COUNTIFS('Rekap Invoice'!$G$4:$G$1500, 'Rekap Per Rute'!G$6, 'Rekap Invoice'!$A$4:$A$1500, 'Rekap Per Rute'!$A26)</f>
        <v>0</v>
      </c>
      <c r="H26" s="11">
        <f>COUNTIFS('Rekap Invoice'!$G$4:$G$1500, 'Rekap Per Rute'!H$6, 'Rekap Invoice'!$A$4:$A$1500, 'Rekap Per Rute'!$A26)</f>
        <v>0</v>
      </c>
      <c r="I26" s="11">
        <f>COUNTIFS('Rekap Invoice'!$G$4:$G$1500, 'Rekap Per Rute'!I$6, 'Rekap Invoice'!$A$4:$A$1500, 'Rekap Per Rute'!$A26)</f>
        <v>0</v>
      </c>
      <c r="J26" s="3"/>
      <c r="K26" s="3"/>
      <c r="L26" s="3"/>
      <c r="M26" s="3"/>
    </row>
    <row r="27" spans="1:13" s="12" customFormat="1" ht="18.75" x14ac:dyDescent="0.25">
      <c r="A27" s="10">
        <v>46286</v>
      </c>
      <c r="B27" s="11">
        <f>COUNTIFS('Rekap Invoice'!$G$4:$G$1500, 'Rekap Per Rute'!B$6, 'Rekap Invoice'!$A$4:$A$1500, 'Rekap Per Rute'!$A27)</f>
        <v>0</v>
      </c>
      <c r="C27" s="11">
        <f>COUNTIFS('Rekap Invoice'!$G$4:$G$1500, 'Rekap Per Rute'!C$6, 'Rekap Invoice'!$A$4:$A$1500, 'Rekap Per Rute'!$A27)</f>
        <v>0</v>
      </c>
      <c r="D27" s="11">
        <f>COUNTIFS('Rekap Invoice'!$G$4:$G$1500, 'Rekap Per Rute'!D$6, 'Rekap Invoice'!$A$4:$A$1500, 'Rekap Per Rute'!$A27)</f>
        <v>0</v>
      </c>
      <c r="E27" s="11">
        <f>COUNTIFS('Rekap Invoice'!$G$4:$G$1500, 'Rekap Per Rute'!E$6, 'Rekap Invoice'!$A$4:$A$1500, 'Rekap Per Rute'!$A27)</f>
        <v>0</v>
      </c>
      <c r="F27" s="11">
        <f>COUNTIFS('Rekap Invoice'!$G$4:$G$1500, 'Rekap Per Rute'!F$6, 'Rekap Invoice'!$A$4:$A$1500, 'Rekap Per Rute'!$A27)</f>
        <v>0</v>
      </c>
      <c r="G27" s="11">
        <f>COUNTIFS('Rekap Invoice'!$G$4:$G$1500, 'Rekap Per Rute'!G$6, 'Rekap Invoice'!$A$4:$A$1500, 'Rekap Per Rute'!$A27)</f>
        <v>0</v>
      </c>
      <c r="H27" s="11">
        <f>COUNTIFS('Rekap Invoice'!$G$4:$G$1500, 'Rekap Per Rute'!H$6, 'Rekap Invoice'!$A$4:$A$1500, 'Rekap Per Rute'!$A27)</f>
        <v>0</v>
      </c>
      <c r="I27" s="11">
        <f>COUNTIFS('Rekap Invoice'!$G$4:$G$1500, 'Rekap Per Rute'!I$6, 'Rekap Invoice'!$A$4:$A$1500, 'Rekap Per Rute'!$A27)</f>
        <v>0</v>
      </c>
    </row>
    <row r="28" spans="1:13" s="12" customFormat="1" ht="18.75" x14ac:dyDescent="0.25">
      <c r="A28" s="10">
        <v>46287</v>
      </c>
      <c r="B28" s="11">
        <f>COUNTIFS('Rekap Invoice'!$G$4:$G$1500, 'Rekap Per Rute'!B$6, 'Rekap Invoice'!$A$4:$A$1500, 'Rekap Per Rute'!$A28)</f>
        <v>0</v>
      </c>
      <c r="C28" s="11">
        <f>COUNTIFS('Rekap Invoice'!$G$4:$G$1500, 'Rekap Per Rute'!C$6, 'Rekap Invoice'!$A$4:$A$1500, 'Rekap Per Rute'!$A28)</f>
        <v>0</v>
      </c>
      <c r="D28" s="11">
        <f>COUNTIFS('Rekap Invoice'!$G$4:$G$1500, 'Rekap Per Rute'!D$6, 'Rekap Invoice'!$A$4:$A$1500, 'Rekap Per Rute'!$A28)</f>
        <v>0</v>
      </c>
      <c r="E28" s="11">
        <f>COUNTIFS('Rekap Invoice'!$G$4:$G$1500, 'Rekap Per Rute'!E$6, 'Rekap Invoice'!$A$4:$A$1500, 'Rekap Per Rute'!$A28)</f>
        <v>0</v>
      </c>
      <c r="F28" s="11">
        <f>COUNTIFS('Rekap Invoice'!$G$4:$G$1500, 'Rekap Per Rute'!F$6, 'Rekap Invoice'!$A$4:$A$1500, 'Rekap Per Rute'!$A28)</f>
        <v>0</v>
      </c>
      <c r="G28" s="11">
        <f>COUNTIFS('Rekap Invoice'!$G$4:$G$1500, 'Rekap Per Rute'!G$6, 'Rekap Invoice'!$A$4:$A$1500, 'Rekap Per Rute'!$A28)</f>
        <v>0</v>
      </c>
      <c r="H28" s="11">
        <f>COUNTIFS('Rekap Invoice'!$G$4:$G$1500, 'Rekap Per Rute'!H$6, 'Rekap Invoice'!$A$4:$A$1500, 'Rekap Per Rute'!$A28)</f>
        <v>0</v>
      </c>
      <c r="I28" s="11">
        <f>COUNTIFS('Rekap Invoice'!$G$4:$G$1500, 'Rekap Per Rute'!I$6, 'Rekap Invoice'!$A$4:$A$1500, 'Rekap Per Rute'!$A28)</f>
        <v>0</v>
      </c>
    </row>
    <row r="29" spans="1:13" s="13" customFormat="1" ht="18.75" x14ac:dyDescent="0.25">
      <c r="A29" s="10">
        <v>46288</v>
      </c>
      <c r="B29" s="11">
        <f>COUNTIFS('Rekap Invoice'!$G$4:$G$1500, 'Rekap Per Rute'!B$6, 'Rekap Invoice'!$A$4:$A$1500, 'Rekap Per Rute'!$A29)</f>
        <v>0</v>
      </c>
      <c r="C29" s="11">
        <f>COUNTIFS('Rekap Invoice'!$G$4:$G$1500, 'Rekap Per Rute'!C$6, 'Rekap Invoice'!$A$4:$A$1500, 'Rekap Per Rute'!$A29)</f>
        <v>0</v>
      </c>
      <c r="D29" s="11">
        <f>COUNTIFS('Rekap Invoice'!$G$4:$G$1500, 'Rekap Per Rute'!D$6, 'Rekap Invoice'!$A$4:$A$1500, 'Rekap Per Rute'!$A29)</f>
        <v>0</v>
      </c>
      <c r="E29" s="11">
        <f>COUNTIFS('Rekap Invoice'!$G$4:$G$1500, 'Rekap Per Rute'!E$6, 'Rekap Invoice'!$A$4:$A$1500, 'Rekap Per Rute'!$A29)</f>
        <v>0</v>
      </c>
      <c r="F29" s="11">
        <f>COUNTIFS('Rekap Invoice'!$G$4:$G$1500, 'Rekap Per Rute'!F$6, 'Rekap Invoice'!$A$4:$A$1500, 'Rekap Per Rute'!$A29)</f>
        <v>0</v>
      </c>
      <c r="G29" s="11">
        <f>COUNTIFS('Rekap Invoice'!$G$4:$G$1500, 'Rekap Per Rute'!G$6, 'Rekap Invoice'!$A$4:$A$1500, 'Rekap Per Rute'!$A29)</f>
        <v>0</v>
      </c>
      <c r="H29" s="11">
        <f>COUNTIFS('Rekap Invoice'!$G$4:$G$1500, 'Rekap Per Rute'!H$6, 'Rekap Invoice'!$A$4:$A$1500, 'Rekap Per Rute'!$A29)</f>
        <v>0</v>
      </c>
      <c r="I29" s="11">
        <f>COUNTIFS('Rekap Invoice'!$G$4:$G$1500, 'Rekap Per Rute'!I$6, 'Rekap Invoice'!$A$4:$A$1500, 'Rekap Per Rute'!$A29)</f>
        <v>0</v>
      </c>
      <c r="J29" s="3"/>
      <c r="K29" s="3"/>
      <c r="L29" s="3"/>
      <c r="M29" s="3"/>
    </row>
    <row r="30" spans="1:13" s="13" customFormat="1" ht="18.75" x14ac:dyDescent="0.25">
      <c r="A30" s="10">
        <v>46289</v>
      </c>
      <c r="B30" s="11">
        <f>COUNTIFS('Rekap Invoice'!$G$4:$G$1500, 'Rekap Per Rute'!B$6, 'Rekap Invoice'!$A$4:$A$1500, 'Rekap Per Rute'!$A30)</f>
        <v>0</v>
      </c>
      <c r="C30" s="11">
        <f>COUNTIFS('Rekap Invoice'!$G$4:$G$1500, 'Rekap Per Rute'!C$6, 'Rekap Invoice'!$A$4:$A$1500, 'Rekap Per Rute'!$A30)</f>
        <v>0</v>
      </c>
      <c r="D30" s="11">
        <f>COUNTIFS('Rekap Invoice'!$G$4:$G$1500, 'Rekap Per Rute'!D$6, 'Rekap Invoice'!$A$4:$A$1500, 'Rekap Per Rute'!$A30)</f>
        <v>0</v>
      </c>
      <c r="E30" s="11">
        <f>COUNTIFS('Rekap Invoice'!$G$4:$G$1500, 'Rekap Per Rute'!E$6, 'Rekap Invoice'!$A$4:$A$1500, 'Rekap Per Rute'!$A30)</f>
        <v>0</v>
      </c>
      <c r="F30" s="11">
        <f>COUNTIFS('Rekap Invoice'!$G$4:$G$1500, 'Rekap Per Rute'!F$6, 'Rekap Invoice'!$A$4:$A$1500, 'Rekap Per Rute'!$A30)</f>
        <v>0</v>
      </c>
      <c r="G30" s="11">
        <f>COUNTIFS('Rekap Invoice'!$G$4:$G$1500, 'Rekap Per Rute'!G$6, 'Rekap Invoice'!$A$4:$A$1500, 'Rekap Per Rute'!$A30)</f>
        <v>0</v>
      </c>
      <c r="H30" s="11">
        <f>COUNTIFS('Rekap Invoice'!$G$4:$G$1500, 'Rekap Per Rute'!H$6, 'Rekap Invoice'!$A$4:$A$1500, 'Rekap Per Rute'!$A30)</f>
        <v>0</v>
      </c>
      <c r="I30" s="11">
        <f>COUNTIFS('Rekap Invoice'!$G$4:$G$1500, 'Rekap Per Rute'!I$6, 'Rekap Invoice'!$A$4:$A$1500, 'Rekap Per Rute'!$A30)</f>
        <v>0</v>
      </c>
      <c r="J30" s="3"/>
      <c r="K30" s="3"/>
      <c r="L30" s="3"/>
      <c r="M30" s="3"/>
    </row>
    <row r="31" spans="1:13" s="12" customFormat="1" ht="18.75" x14ac:dyDescent="0.25">
      <c r="A31" s="10">
        <v>46290</v>
      </c>
      <c r="B31" s="11">
        <f>COUNTIFS('Rekap Invoice'!$G$4:$G$1500, 'Rekap Per Rute'!B$6, 'Rekap Invoice'!$A$4:$A$1500, 'Rekap Per Rute'!$A31)</f>
        <v>0</v>
      </c>
      <c r="C31" s="11">
        <f>COUNTIFS('Rekap Invoice'!$G$4:$G$1500, 'Rekap Per Rute'!C$6, 'Rekap Invoice'!$A$4:$A$1500, 'Rekap Per Rute'!$A31)</f>
        <v>0</v>
      </c>
      <c r="D31" s="11">
        <f>COUNTIFS('Rekap Invoice'!$G$4:$G$1500, 'Rekap Per Rute'!D$6, 'Rekap Invoice'!$A$4:$A$1500, 'Rekap Per Rute'!$A31)</f>
        <v>0</v>
      </c>
      <c r="E31" s="11">
        <f>COUNTIFS('Rekap Invoice'!$G$4:$G$1500, 'Rekap Per Rute'!E$6, 'Rekap Invoice'!$A$4:$A$1500, 'Rekap Per Rute'!$A31)</f>
        <v>0</v>
      </c>
      <c r="F31" s="11">
        <f>COUNTIFS('Rekap Invoice'!$G$4:$G$1500, 'Rekap Per Rute'!F$6, 'Rekap Invoice'!$A$4:$A$1500, 'Rekap Per Rute'!$A31)</f>
        <v>0</v>
      </c>
      <c r="G31" s="11">
        <f>COUNTIFS('Rekap Invoice'!$G$4:$G$1500, 'Rekap Per Rute'!G$6, 'Rekap Invoice'!$A$4:$A$1500, 'Rekap Per Rute'!$A31)</f>
        <v>0</v>
      </c>
      <c r="H31" s="11">
        <f>COUNTIFS('Rekap Invoice'!$G$4:$G$1500, 'Rekap Per Rute'!H$6, 'Rekap Invoice'!$A$4:$A$1500, 'Rekap Per Rute'!$A31)</f>
        <v>0</v>
      </c>
      <c r="I31" s="11">
        <f>COUNTIFS('Rekap Invoice'!$G$4:$G$1500, 'Rekap Per Rute'!I$6, 'Rekap Invoice'!$A$4:$A$1500, 'Rekap Per Rute'!$A31)</f>
        <v>0</v>
      </c>
    </row>
    <row r="32" spans="1:13" s="13" customFormat="1" ht="18.75" x14ac:dyDescent="0.25">
      <c r="A32" s="10">
        <v>46291</v>
      </c>
      <c r="B32" s="11">
        <f>COUNTIFS('Rekap Invoice'!$G$4:$G$1500, 'Rekap Per Rute'!B$6, 'Rekap Invoice'!$A$4:$A$1500, 'Rekap Per Rute'!$A32)</f>
        <v>0</v>
      </c>
      <c r="C32" s="11">
        <f>COUNTIFS('Rekap Invoice'!$G$4:$G$1500, 'Rekap Per Rute'!C$6, 'Rekap Invoice'!$A$4:$A$1500, 'Rekap Per Rute'!$A32)</f>
        <v>0</v>
      </c>
      <c r="D32" s="11">
        <f>COUNTIFS('Rekap Invoice'!$G$4:$G$1500, 'Rekap Per Rute'!D$6, 'Rekap Invoice'!$A$4:$A$1500, 'Rekap Per Rute'!$A32)</f>
        <v>0</v>
      </c>
      <c r="E32" s="11">
        <f>COUNTIFS('Rekap Invoice'!$G$4:$G$1500, 'Rekap Per Rute'!E$6, 'Rekap Invoice'!$A$4:$A$1500, 'Rekap Per Rute'!$A32)</f>
        <v>0</v>
      </c>
      <c r="F32" s="11">
        <f>COUNTIFS('Rekap Invoice'!$G$4:$G$1500, 'Rekap Per Rute'!F$6, 'Rekap Invoice'!$A$4:$A$1500, 'Rekap Per Rute'!$A32)</f>
        <v>0</v>
      </c>
      <c r="G32" s="11">
        <f>COUNTIFS('Rekap Invoice'!$G$4:$G$1500, 'Rekap Per Rute'!G$6, 'Rekap Invoice'!$A$4:$A$1500, 'Rekap Per Rute'!$A32)</f>
        <v>0</v>
      </c>
      <c r="H32" s="11">
        <f>COUNTIFS('Rekap Invoice'!$G$4:$G$1500, 'Rekap Per Rute'!H$6, 'Rekap Invoice'!$A$4:$A$1500, 'Rekap Per Rute'!$A32)</f>
        <v>0</v>
      </c>
      <c r="I32" s="11">
        <f>COUNTIFS('Rekap Invoice'!$G$4:$G$1500, 'Rekap Per Rute'!I$6, 'Rekap Invoice'!$A$4:$A$1500, 'Rekap Per Rute'!$A32)</f>
        <v>0</v>
      </c>
      <c r="J32" s="3"/>
      <c r="K32" s="3"/>
      <c r="L32" s="3"/>
      <c r="M32" s="3"/>
    </row>
    <row r="33" spans="1:13" s="13" customFormat="1" ht="18.75" x14ac:dyDescent="0.25">
      <c r="A33" s="10">
        <v>46292</v>
      </c>
      <c r="B33" s="11">
        <f>COUNTIFS('Rekap Invoice'!$G$4:$G$1500, 'Rekap Per Rute'!B$6, 'Rekap Invoice'!$A$4:$A$1500, 'Rekap Per Rute'!$A33)</f>
        <v>0</v>
      </c>
      <c r="C33" s="11">
        <f>COUNTIFS('Rekap Invoice'!$G$4:$G$1500, 'Rekap Per Rute'!C$6, 'Rekap Invoice'!$A$4:$A$1500, 'Rekap Per Rute'!$A33)</f>
        <v>0</v>
      </c>
      <c r="D33" s="11">
        <f>COUNTIFS('Rekap Invoice'!$G$4:$G$1500, 'Rekap Per Rute'!D$6, 'Rekap Invoice'!$A$4:$A$1500, 'Rekap Per Rute'!$A33)</f>
        <v>0</v>
      </c>
      <c r="E33" s="11">
        <f>COUNTIFS('Rekap Invoice'!$G$4:$G$1500, 'Rekap Per Rute'!E$6, 'Rekap Invoice'!$A$4:$A$1500, 'Rekap Per Rute'!$A33)</f>
        <v>0</v>
      </c>
      <c r="F33" s="11">
        <f>COUNTIFS('Rekap Invoice'!$G$4:$G$1500, 'Rekap Per Rute'!F$6, 'Rekap Invoice'!$A$4:$A$1500, 'Rekap Per Rute'!$A33)</f>
        <v>0</v>
      </c>
      <c r="G33" s="11">
        <f>COUNTIFS('Rekap Invoice'!$G$4:$G$1500, 'Rekap Per Rute'!G$6, 'Rekap Invoice'!$A$4:$A$1500, 'Rekap Per Rute'!$A33)</f>
        <v>0</v>
      </c>
      <c r="H33" s="11">
        <f>COUNTIFS('Rekap Invoice'!$G$4:$G$1500, 'Rekap Per Rute'!H$6, 'Rekap Invoice'!$A$4:$A$1500, 'Rekap Per Rute'!$A33)</f>
        <v>0</v>
      </c>
      <c r="I33" s="11">
        <f>COUNTIFS('Rekap Invoice'!$G$4:$G$1500, 'Rekap Per Rute'!I$6, 'Rekap Invoice'!$A$4:$A$1500, 'Rekap Per Rute'!$A33)</f>
        <v>0</v>
      </c>
      <c r="J33" s="3"/>
      <c r="K33" s="3"/>
      <c r="L33" s="3"/>
      <c r="M33" s="3"/>
    </row>
    <row r="34" spans="1:13" s="12" customFormat="1" ht="18.75" x14ac:dyDescent="0.25">
      <c r="A34" s="10">
        <v>46293</v>
      </c>
      <c r="B34" s="11">
        <f>COUNTIFS('Rekap Invoice'!$G$4:$G$1500, 'Rekap Per Rute'!B$6, 'Rekap Invoice'!$A$4:$A$1500, 'Rekap Per Rute'!$A34)</f>
        <v>0</v>
      </c>
      <c r="C34" s="11">
        <f>COUNTIFS('Rekap Invoice'!$G$4:$G$1500, 'Rekap Per Rute'!C$6, 'Rekap Invoice'!$A$4:$A$1500, 'Rekap Per Rute'!$A34)</f>
        <v>0</v>
      </c>
      <c r="D34" s="11">
        <f>COUNTIFS('Rekap Invoice'!$G$4:$G$1500, 'Rekap Per Rute'!D$6, 'Rekap Invoice'!$A$4:$A$1500, 'Rekap Per Rute'!$A34)</f>
        <v>0</v>
      </c>
      <c r="E34" s="11">
        <f>COUNTIFS('Rekap Invoice'!$G$4:$G$1500, 'Rekap Per Rute'!E$6, 'Rekap Invoice'!$A$4:$A$1500, 'Rekap Per Rute'!$A34)</f>
        <v>0</v>
      </c>
      <c r="F34" s="11">
        <f>COUNTIFS('Rekap Invoice'!$G$4:$G$1500, 'Rekap Per Rute'!F$6, 'Rekap Invoice'!$A$4:$A$1500, 'Rekap Per Rute'!$A34)</f>
        <v>0</v>
      </c>
      <c r="G34" s="11">
        <f>COUNTIFS('Rekap Invoice'!$G$4:$G$1500, 'Rekap Per Rute'!G$6, 'Rekap Invoice'!$A$4:$A$1500, 'Rekap Per Rute'!$A34)</f>
        <v>0</v>
      </c>
      <c r="H34" s="11">
        <f>COUNTIFS('Rekap Invoice'!$G$4:$G$1500, 'Rekap Per Rute'!H$6, 'Rekap Invoice'!$A$4:$A$1500, 'Rekap Per Rute'!$A34)</f>
        <v>0</v>
      </c>
      <c r="I34" s="11">
        <f>COUNTIFS('Rekap Invoice'!$G$4:$G$1500, 'Rekap Per Rute'!I$6, 'Rekap Invoice'!$A$4:$A$1500, 'Rekap Per Rute'!$A34)</f>
        <v>0</v>
      </c>
    </row>
    <row r="35" spans="1:13" s="12" customFormat="1" ht="18.75" x14ac:dyDescent="0.25">
      <c r="A35" s="10">
        <v>46294</v>
      </c>
      <c r="B35" s="11">
        <f>COUNTIFS('Rekap Invoice'!$G$4:$G$1500, 'Rekap Per Rute'!B$6, 'Rekap Invoice'!$A$4:$A$1500, 'Rekap Per Rute'!$A35)</f>
        <v>0</v>
      </c>
      <c r="C35" s="11">
        <f>COUNTIFS('Rekap Invoice'!$G$4:$G$1500, 'Rekap Per Rute'!C$6, 'Rekap Invoice'!$A$4:$A$1500, 'Rekap Per Rute'!$A35)</f>
        <v>0</v>
      </c>
      <c r="D35" s="11">
        <f>COUNTIFS('Rekap Invoice'!$G$4:$G$1500, 'Rekap Per Rute'!D$6, 'Rekap Invoice'!$A$4:$A$1500, 'Rekap Per Rute'!$A35)</f>
        <v>0</v>
      </c>
      <c r="E35" s="11">
        <f>COUNTIFS('Rekap Invoice'!$G$4:$G$1500, 'Rekap Per Rute'!E$6, 'Rekap Invoice'!$A$4:$A$1500, 'Rekap Per Rute'!$A35)</f>
        <v>0</v>
      </c>
      <c r="F35" s="11">
        <f>COUNTIFS('Rekap Invoice'!$G$4:$G$1500, 'Rekap Per Rute'!F$6, 'Rekap Invoice'!$A$4:$A$1500, 'Rekap Per Rute'!$A35)</f>
        <v>0</v>
      </c>
      <c r="G35" s="11">
        <f>COUNTIFS('Rekap Invoice'!$G$4:$G$1500, 'Rekap Per Rute'!G$6, 'Rekap Invoice'!$A$4:$A$1500, 'Rekap Per Rute'!$A35)</f>
        <v>0</v>
      </c>
      <c r="H35" s="11">
        <f>COUNTIFS('Rekap Invoice'!$G$4:$G$1500, 'Rekap Per Rute'!H$6, 'Rekap Invoice'!$A$4:$A$1500, 'Rekap Per Rute'!$A35)</f>
        <v>0</v>
      </c>
      <c r="I35" s="11">
        <f>COUNTIFS('Rekap Invoice'!$G$4:$G$1500, 'Rekap Per Rute'!I$6, 'Rekap Invoice'!$A$4:$A$1500, 'Rekap Per Rute'!$A35)</f>
        <v>0</v>
      </c>
    </row>
    <row r="36" spans="1:13" s="12" customFormat="1" ht="18.75" x14ac:dyDescent="0.25">
      <c r="A36" s="10">
        <v>46295</v>
      </c>
      <c r="B36" s="11">
        <f>COUNTIFS('Rekap Invoice'!$G$4:$G$1500, 'Rekap Per Rute'!B$6, 'Rekap Invoice'!$A$4:$A$1500, 'Rekap Per Rute'!$A36)</f>
        <v>0</v>
      </c>
      <c r="C36" s="11">
        <f>COUNTIFS('Rekap Invoice'!$G$4:$G$1500, 'Rekap Per Rute'!C$6, 'Rekap Invoice'!$A$4:$A$1500, 'Rekap Per Rute'!$A36)</f>
        <v>0</v>
      </c>
      <c r="D36" s="11">
        <f>COUNTIFS('Rekap Invoice'!$G$4:$G$1500, 'Rekap Per Rute'!D$6, 'Rekap Invoice'!$A$4:$A$1500, 'Rekap Per Rute'!$A36)</f>
        <v>0</v>
      </c>
      <c r="E36" s="11">
        <f>COUNTIFS('Rekap Invoice'!$G$4:$G$1500, 'Rekap Per Rute'!E$6, 'Rekap Invoice'!$A$4:$A$1500, 'Rekap Per Rute'!$A36)</f>
        <v>0</v>
      </c>
      <c r="F36" s="11">
        <f>COUNTIFS('Rekap Invoice'!$G$4:$G$1500, 'Rekap Per Rute'!F$6, 'Rekap Invoice'!$A$4:$A$1500, 'Rekap Per Rute'!$A36)</f>
        <v>0</v>
      </c>
      <c r="G36" s="11">
        <f>COUNTIFS('Rekap Invoice'!$G$4:$G$1500, 'Rekap Per Rute'!G$6, 'Rekap Invoice'!$A$4:$A$1500, 'Rekap Per Rute'!$A36)</f>
        <v>0</v>
      </c>
      <c r="H36" s="11">
        <f>COUNTIFS('Rekap Invoice'!$G$4:$G$1500, 'Rekap Per Rute'!H$6, 'Rekap Invoice'!$A$4:$A$1500, 'Rekap Per Rute'!$A36)</f>
        <v>0</v>
      </c>
      <c r="I36" s="11">
        <f>COUNTIFS('Rekap Invoice'!$G$4:$G$1500, 'Rekap Per Rute'!I$6, 'Rekap Invoice'!$A$4:$A$1500, 'Rekap Per Rute'!$A36)</f>
        <v>0</v>
      </c>
    </row>
    <row r="37" spans="1:13" s="12" customFormat="1" ht="18.75" x14ac:dyDescent="0.25">
      <c r="A37" s="10">
        <v>46296</v>
      </c>
      <c r="B37" s="11">
        <f>COUNTIFS('Rekap Invoice'!$G$4:$G$1500, 'Rekap Per Rute'!B$6, 'Rekap Invoice'!$A$4:$A$1500, 'Rekap Per Rute'!$A37)</f>
        <v>0</v>
      </c>
      <c r="C37" s="11">
        <f>COUNTIFS('Rekap Invoice'!$G$4:$G$1500, 'Rekap Per Rute'!C$6, 'Rekap Invoice'!$A$4:$A$1500, 'Rekap Per Rute'!$A37)</f>
        <v>0</v>
      </c>
      <c r="D37" s="11">
        <f>COUNTIFS('Rekap Invoice'!$G$4:$G$1500, 'Rekap Per Rute'!D$6, 'Rekap Invoice'!$A$4:$A$1500, 'Rekap Per Rute'!$A37)</f>
        <v>0</v>
      </c>
      <c r="E37" s="11">
        <f>COUNTIFS('Rekap Invoice'!$G$4:$G$1500, 'Rekap Per Rute'!E$6, 'Rekap Invoice'!$A$4:$A$1500, 'Rekap Per Rute'!$A37)</f>
        <v>0</v>
      </c>
      <c r="F37" s="11">
        <f>COUNTIFS('Rekap Invoice'!$G$4:$G$1500, 'Rekap Per Rute'!F$6, 'Rekap Invoice'!$A$4:$A$1500, 'Rekap Per Rute'!$A37)</f>
        <v>0</v>
      </c>
      <c r="G37" s="11">
        <f>COUNTIFS('Rekap Invoice'!$G$4:$G$1500, 'Rekap Per Rute'!G$6, 'Rekap Invoice'!$A$4:$A$1500, 'Rekap Per Rute'!$A37)</f>
        <v>0</v>
      </c>
      <c r="H37" s="11">
        <f>COUNTIFS('Rekap Invoice'!$G$4:$G$1500, 'Rekap Per Rute'!H$6, 'Rekap Invoice'!$A$4:$A$1500, 'Rekap Per Rute'!$A37)</f>
        <v>0</v>
      </c>
      <c r="I37" s="11">
        <f>COUNTIFS('Rekap Invoice'!$G$4:$G$1500, 'Rekap Per Rute'!I$6, 'Rekap Invoice'!$A$4:$A$1500, 'Rekap Per Rute'!$A37)</f>
        <v>0</v>
      </c>
    </row>
    <row r="38" spans="1:13" s="18" customFormat="1" ht="15.75" x14ac:dyDescent="0.25">
      <c r="A38" s="16" t="s">
        <v>34</v>
      </c>
      <c r="B38" s="17">
        <f>SUM(B7:B37)</f>
        <v>0</v>
      </c>
      <c r="C38" s="17">
        <f t="shared" ref="C38:I38" si="0">SUM(C7:C37)</f>
        <v>2</v>
      </c>
      <c r="D38" s="17">
        <f t="shared" si="0"/>
        <v>0</v>
      </c>
      <c r="E38" s="17">
        <f t="shared" si="0"/>
        <v>2</v>
      </c>
      <c r="F38" s="17">
        <f t="shared" si="0"/>
        <v>0</v>
      </c>
      <c r="G38" s="17">
        <f t="shared" si="0"/>
        <v>0</v>
      </c>
      <c r="H38" s="17">
        <f t="shared" si="0"/>
        <v>2</v>
      </c>
      <c r="I38" s="17">
        <f t="shared" si="0"/>
        <v>0</v>
      </c>
      <c r="J38" s="3"/>
      <c r="K38" s="3"/>
      <c r="L38" s="3"/>
      <c r="M38" s="3"/>
    </row>
    <row r="39" spans="1:13" s="18" customFormat="1" ht="15.75" x14ac:dyDescent="0.25">
      <c r="A39" s="16" t="s">
        <v>35</v>
      </c>
      <c r="B39" s="19">
        <v>475978</v>
      </c>
      <c r="C39" s="19">
        <v>708429</v>
      </c>
      <c r="D39" s="19">
        <v>531145</v>
      </c>
      <c r="E39" s="19">
        <v>740565</v>
      </c>
      <c r="F39" s="19">
        <v>886248</v>
      </c>
      <c r="G39" s="19">
        <v>537318</v>
      </c>
      <c r="H39" s="19">
        <v>738703</v>
      </c>
      <c r="I39" s="19">
        <v>882244</v>
      </c>
      <c r="J39" s="3"/>
      <c r="K39" s="3"/>
      <c r="L39" s="3"/>
      <c r="M39" s="3"/>
    </row>
    <row r="40" spans="1:13" ht="15.75" x14ac:dyDescent="0.25">
      <c r="A40" s="16" t="s">
        <v>36</v>
      </c>
      <c r="B40" s="20">
        <f>B38*B39</f>
        <v>0</v>
      </c>
      <c r="C40" s="20">
        <f t="shared" ref="C40:I40" si="1">C38*C39</f>
        <v>1416858</v>
      </c>
      <c r="D40" s="20">
        <f t="shared" si="1"/>
        <v>0</v>
      </c>
      <c r="E40" s="20">
        <f t="shared" si="1"/>
        <v>1481130</v>
      </c>
      <c r="F40" s="20">
        <f t="shared" si="1"/>
        <v>0</v>
      </c>
      <c r="G40" s="20">
        <f t="shared" si="1"/>
        <v>0</v>
      </c>
      <c r="H40" s="20">
        <f t="shared" si="1"/>
        <v>1477406</v>
      </c>
      <c r="I40" s="20">
        <f t="shared" si="1"/>
        <v>0</v>
      </c>
    </row>
    <row r="41" spans="1:13" ht="24.75" customHeight="1" x14ac:dyDescent="0.25">
      <c r="A41" s="21" t="s">
        <v>37</v>
      </c>
      <c r="B41" s="22">
        <f>SUM(B40:I40)</f>
        <v>4375394</v>
      </c>
      <c r="C41" s="23"/>
      <c r="D41" s="23"/>
      <c r="E41" s="23"/>
      <c r="F41" s="23"/>
      <c r="G41" s="23"/>
      <c r="H41" s="23"/>
      <c r="I41" s="23"/>
    </row>
    <row r="42" spans="1:13" x14ac:dyDescent="0.25">
      <c r="K42" s="24"/>
    </row>
  </sheetData>
  <mergeCells count="5">
    <mergeCell ref="A1:E1"/>
    <mergeCell ref="A2:E2"/>
    <mergeCell ref="A5:A6"/>
    <mergeCell ref="B5:I5"/>
    <mergeCell ref="B41:I41"/>
  </mergeCells>
  <conditionalFormatting sqref="A7:I37">
    <cfRule type="expression" dxfId="0" priority="1">
      <formula>WEEKDAY($A7,2)&gt;5</formula>
    </cfRule>
  </conditionalFormatting>
  <printOptions horizontalCentered="1"/>
  <pageMargins left="0.11811023622047245" right="0.11811023622047245" top="0.15748031496062992" bottom="0.15748031496062992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Rekap Invoice</vt:lpstr>
      <vt:lpstr>Rekap Per Rute</vt:lpstr>
      <vt:lpstr>'Rekap Per Rute'!Print_Area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</dc:creator>
  <cp:lastModifiedBy>Maulana IT</cp:lastModifiedBy>
  <dcterms:created xsi:type="dcterms:W3CDTF">2026-09-02T07:41:18Z</dcterms:created>
  <dcterms:modified xsi:type="dcterms:W3CDTF">2026-09-02T07:47:56Z</dcterms:modified>
</cp:coreProperties>
</file>